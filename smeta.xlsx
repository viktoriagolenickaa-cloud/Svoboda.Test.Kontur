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svoboda/Desktop/"/>
    </mc:Choice>
  </mc:AlternateContent>
  <xr:revisionPtr revIDLastSave="0" documentId="8_{B9DBDAE2-A48E-2B48-A44F-8C3F0059D54D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Смета" sheetId="1" r:id="rId1"/>
    <sheet name="План подготовки" sheetId="2" r:id="rId2"/>
    <sheet name="Тайминг" sheetId="3" r:id="rId3"/>
  </sheets>
  <definedNames>
    <definedName name="_xlnm._FilterDatabase" localSheetId="1" hidden="1">'План подготовки'!$A$3:$F$18</definedName>
    <definedName name="_xlnm._FilterDatabase" localSheetId="0" hidden="1">Смета!$A$5:$G$18</definedName>
    <definedName name="_xlnm._FilterDatabase" localSheetId="2" hidden="1">Тайминг!$A$4:$F$29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D54" i="1"/>
  <c r="G54" i="1" s="1"/>
  <c r="G56" i="1" s="1"/>
  <c r="G51" i="1"/>
  <c r="G50" i="1"/>
  <c r="G49" i="1"/>
  <c r="G48" i="1"/>
  <c r="G47" i="1"/>
  <c r="G46" i="1"/>
  <c r="G43" i="1"/>
  <c r="F43" i="1"/>
  <c r="G42" i="1"/>
  <c r="F42" i="1"/>
  <c r="G41" i="1"/>
  <c r="F41" i="1"/>
  <c r="G37" i="1"/>
  <c r="F37" i="1"/>
  <c r="D37" i="1"/>
  <c r="G36" i="1"/>
  <c r="F36" i="1"/>
  <c r="D36" i="1"/>
  <c r="F35" i="1"/>
  <c r="D35" i="1"/>
  <c r="G35" i="1" s="1"/>
  <c r="G31" i="1"/>
  <c r="F31" i="1"/>
  <c r="G30" i="1"/>
  <c r="F30" i="1"/>
  <c r="G29" i="1"/>
  <c r="F29" i="1"/>
  <c r="G25" i="1"/>
  <c r="F25" i="1"/>
  <c r="D25" i="1"/>
  <c r="G24" i="1"/>
  <c r="F24" i="1"/>
  <c r="D24" i="1"/>
  <c r="F23" i="1"/>
  <c r="D23" i="1"/>
  <c r="G23" i="1" s="1"/>
  <c r="F19" i="1"/>
  <c r="D19" i="1"/>
  <c r="G19" i="1" s="1"/>
  <c r="G18" i="1"/>
  <c r="F18" i="1"/>
  <c r="D18" i="1"/>
  <c r="F17" i="1"/>
  <c r="D17" i="1"/>
  <c r="G17" i="1" s="1"/>
  <c r="G13" i="1"/>
  <c r="F13" i="1"/>
  <c r="D13" i="1"/>
  <c r="G12" i="1"/>
  <c r="F12" i="1"/>
  <c r="D12" i="1"/>
  <c r="G11" i="1"/>
  <c r="F11" i="1"/>
  <c r="D11" i="1"/>
  <c r="F10" i="1"/>
  <c r="D10" i="1"/>
  <c r="G10" i="1" s="1"/>
  <c r="G44" i="1" l="1"/>
  <c r="G52" i="1"/>
  <c r="G26" i="1"/>
  <c r="G20" i="1"/>
  <c r="G38" i="1"/>
  <c r="G32" i="1"/>
  <c r="G14" i="1"/>
  <c r="G58" i="1" l="1"/>
  <c r="G60" i="1" s="1"/>
  <c r="G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Ячейка с выпадающим списком. В Excel нажмите на ячейку и выберите вариант. После изменения выбора суммы должны пересчитаться автоматически.</t>
        </r>
      </text>
    </comment>
    <comment ref="F16" authorId="0" shapeId="0" xr:uid="{00000000-0006-0000-0000-000002000000}">
      <text>
        <r>
          <rPr>
            <sz val="11"/>
            <color rgb="FF000000"/>
            <rFont val="Calibri"/>
            <family val="2"/>
          </rPr>
          <t>Выбери вариант кейтеринга из выпадающего списка. Суммы в строках ниже рассчитываются автоматически.</t>
        </r>
      </text>
    </comment>
    <comment ref="F2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Ячейка с выпадающим списком. В Excel нажмите на ячейку и выберите вариант. После изменения выбора суммы должны пересчитаться автоматически.</t>
        </r>
      </text>
    </comment>
    <comment ref="F2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Ячейка с выпадающим списком. В Excel нажмите на ячейку и выберите вариант. После изменения выбора суммы должны пересчитаться автоматически.</t>
        </r>
      </text>
    </comment>
    <comment ref="F3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Ячейка с выпадающим списком. В Excel нажмите на ячейку и выберите вариант. После изменения выбора суммы должны пересчитаться автоматически.</t>
        </r>
      </text>
    </comment>
    <comment ref="F40" authorId="0" shapeId="0" xr:uid="{00000000-0006-0000-0000-000006000000}">
      <text>
        <r>
          <rPr>
            <sz val="11"/>
            <color rgb="FF000000"/>
            <rFont val="Calibri"/>
            <family val="2"/>
          </rPr>
          <t>Ячейка с выпадающим списком. В Excel нажмите на ячейку и выберите вариант. После изменения выбора суммы должны пересчитаться автоматически.</t>
        </r>
      </text>
    </comment>
    <comment ref="F4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Ячейка с выпадающим списком. В Excel нажмите на ячейку и выберите вариант. После изменения выбора суммы должны пересчитаться автоматически.</t>
        </r>
      </text>
    </comment>
    <comment ref="F4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Ячейка с выпадающим списком. В Excel нажмите на ячейку и выберите вариант. После изменения выбора суммы должны пересчитаться автоматически.</t>
        </r>
      </text>
    </comment>
    <comment ref="F5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Ячейка с выпадающим списком. В Excel нажмите на ячейку и выберите вариант. После изменения выбора суммы должны пересчитаться автоматически.</t>
        </r>
      </text>
    </comment>
    <comment ref="F5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Ячейка с выпадающим списком. В Excel нажмите на ячейку и выберите вариант. После изменения выбора суммы должны пересчитаться автоматически.</t>
        </r>
      </text>
    </comment>
  </commentList>
</comments>
</file>

<file path=xl/sharedStrings.xml><?xml version="1.0" encoding="utf-8"?>
<sst xmlns="http://schemas.openxmlformats.org/spreadsheetml/2006/main" count="426" uniqueCount="308">
  <si>
    <t>ВЫЕЗДНАЯ КОНФЕРЕНЦИЯ РУКОВОДИТЕЛЕЙ — ИНТЕРАКТИВНАЯ СМЕТА</t>
  </si>
  <si>
    <t>Участники</t>
  </si>
  <si>
    <t>Командированные</t>
  </si>
  <si>
    <t>Длительность, дней</t>
  </si>
  <si>
    <t>Ночей проживания</t>
  </si>
  <si>
    <t>Блок</t>
  </si>
  <si>
    <t>Позиция / вариант</t>
  </si>
  <si>
    <t>Ед.</t>
  </si>
  <si>
    <t>Кол-во</t>
  </si>
  <si>
    <t>Цена за ед., ₽</t>
  </si>
  <si>
    <t>Выбор / включить</t>
  </si>
  <si>
    <t>Итого, ₽</t>
  </si>
  <si>
    <t>Комментарий / допущение</t>
  </si>
  <si>
    <t>1. ПЛОЩАДКА И ТЕХНИЧЕСКОЕ ОСНАЩЕНИЕ</t>
  </si>
  <si>
    <t>Выбранная площадка</t>
  </si>
  <si>
    <t>Лофт «Север»</t>
  </si>
  <si>
    <t>Варианты площадки; техника может быть включена или идти отдельной строкой.</t>
  </si>
  <si>
    <t>Площадка</t>
  </si>
  <si>
    <t>Лофт «Север» — аренда + базовый экран/звук</t>
  </si>
  <si>
    <t>день</t>
  </si>
  <si>
    <t>Базовое оборудование включено в стоимость.</t>
  </si>
  <si>
    <t>Конференц-зал «Контур» — аренда</t>
  </si>
  <si>
    <t>Техника оплачивается отдельно.</t>
  </si>
  <si>
    <t>Техника</t>
  </si>
  <si>
    <t>Техника для конференц-зала: звук, экран, микрофоны</t>
  </si>
  <si>
    <t>Дополнительный расход только для выбранного зала.</t>
  </si>
  <si>
    <t>Загородный комплекс — аренда + базовое оборудование</t>
  </si>
  <si>
    <t>Базовый комплект включён; уточнить доплату за расширение.</t>
  </si>
  <si>
    <t>Подытог: площадка и техника</t>
  </si>
  <si>
    <t>2. КЕЙТЕРИНГ</t>
  </si>
  <si>
    <t>Выбранный вариант кейтеринга</t>
  </si>
  <si>
    <t>Расчёт на участников + резерв для команды/спикеров.</t>
  </si>
  <si>
    <t>Кейтеринг</t>
  </si>
  <si>
    <t>От площадки — кофе-брейки и обеды</t>
  </si>
  <si>
    <t>чел./день</t>
  </si>
  <si>
    <t>От площадки загородного комплекса — кофе-брейки и обеды</t>
  </si>
  <si>
    <t>Поставщик «Гастро» — кофе-брейки и обеды</t>
  </si>
  <si>
    <t>Подытог: кейтеринг</t>
  </si>
  <si>
    <t>3. КОМАНДИРОВКИ — БИЛЕТЫ</t>
  </si>
  <si>
    <t>Выбранный тип билета</t>
  </si>
  <si>
    <t>Самолёт — прямой рейс</t>
  </si>
  <si>
    <t>Варианты на одного командированного туда-обратно.</t>
  </si>
  <si>
    <t>Билеты</t>
  </si>
  <si>
    <t>Самолёт — прямой рейс, туда-обратно</t>
  </si>
  <si>
    <t>чел.</t>
  </si>
  <si>
    <t>Самолёт — с пересадкой, туда-обратно</t>
  </si>
  <si>
    <t>Дешевле, но больше времени в пути.</t>
  </si>
  <si>
    <t>Поезд, купе, туда-обратно</t>
  </si>
  <si>
    <t>Подытог: билеты</t>
  </si>
  <si>
    <t>4. КОМАНДИРОВКИ — ТРАНСФЕР</t>
  </si>
  <si>
    <t>Выбранный трансфер</t>
  </si>
  <si>
    <t>Такси / бизнес-класс</t>
  </si>
  <si>
    <t>Один вариант трансфера на всю группу командированных.</t>
  </si>
  <si>
    <t>Трансфер</t>
  </si>
  <si>
    <t>Такси / бизнес-класс — поездки по маршруту</t>
  </si>
  <si>
    <t>пакет</t>
  </si>
  <si>
    <t>Минивэн — аэропорт/вокзал и обратно</t>
  </si>
  <si>
    <t>Вместимость уточнить.</t>
  </si>
  <si>
    <t>Заказной автобус — аэропорт/вокзал и обратно</t>
  </si>
  <si>
    <t>Выгоднее при совместном прибытии.</t>
  </si>
  <si>
    <t>Подытог: трансфер командированных</t>
  </si>
  <si>
    <t>5. КОМАНДИРОВКИ — ПРОЖИВАНИЕ</t>
  </si>
  <si>
    <t>Выбранный отель</t>
  </si>
  <si>
    <t>Отель «Стандарт» 3★</t>
  </si>
  <si>
    <t>Стоимость за номер/ночь; расчёт условно на одного человека в номере.</t>
  </si>
  <si>
    <t>Проживание</t>
  </si>
  <si>
    <t>чел./ночь</t>
  </si>
  <si>
    <t>Отель «Комфорт» 4★</t>
  </si>
  <si>
    <t>Отель «Премиум» 5★</t>
  </si>
  <si>
    <t>Подытог: проживание</t>
  </si>
  <si>
    <t>6. НЕФОРМАЛЬНАЯ ПРОГРАММА</t>
  </si>
  <si>
    <t>Выбранная программа</t>
  </si>
  <si>
    <t>Вариант 1 — камерный вечер</t>
  </si>
  <si>
    <t>Три альтернативы на группу; включается только одна.</t>
  </si>
  <si>
    <t>Программа</t>
  </si>
  <si>
    <t>Вариант 1 — ужин и квиз</t>
  </si>
  <si>
    <t>Ужин, ведущий квиза, базовая техника.</t>
  </si>
  <si>
    <t>Вариант 2 — командная активность</t>
  </si>
  <si>
    <t>Вариант 3 — расширенная программа</t>
  </si>
  <si>
    <t>Ведущий, интерактив, расширенный сценарий и ужин.</t>
  </si>
  <si>
    <t>Подытог: неформальная программа</t>
  </si>
  <si>
    <t>7. Мерч и печатная продукция — дополнительные строки включаются через «Да/Нет»</t>
  </si>
  <si>
    <t>Печатная продукция</t>
  </si>
  <si>
    <t>Печатные материалы: программа, карточки, навигация</t>
  </si>
  <si>
    <t>комплект</t>
  </si>
  <si>
    <t>Базовая обязательная позиция.</t>
  </si>
  <si>
    <t>Бейджи</t>
  </si>
  <si>
    <t>Бейджи и ленты</t>
  </si>
  <si>
    <t>Мерч</t>
  </si>
  <si>
    <t>Фирменный мерч</t>
  </si>
  <si>
    <t>Нет</t>
  </si>
  <si>
    <t>Дополнительная опция — выберите «Да», чтобы включить.</t>
  </si>
  <si>
    <t>Раздаточные материалы</t>
  </si>
  <si>
    <t>Папки / блокноты / материалы участника</t>
  </si>
  <si>
    <t>Дополнительная опция.</t>
  </si>
  <si>
    <t>Канцелярия</t>
  </si>
  <si>
    <t>Ручки, маркеры, стикеры</t>
  </si>
  <si>
    <t>Подарки</t>
  </si>
  <si>
    <t>Подарки участникам / спикерам</t>
  </si>
  <si>
    <t>Подытог: мерч и продукция</t>
  </si>
  <si>
    <t>8. Подрядчики и команда мероприятия</t>
  </si>
  <si>
    <t>Подрядчики</t>
  </si>
  <si>
    <t>Питание для подрядчиков, ведущих и координаторов</t>
  </si>
  <si>
    <t>Допущение: 8 человек × 2 дня; скорректируйте количество.</t>
  </si>
  <si>
    <t>Трансфер для подрядчиков, ведущих и координаторов</t>
  </si>
  <si>
    <t>Локальные поездки/возврат после мероприятия.</t>
  </si>
  <si>
    <t>Подытог: подрядчики</t>
  </si>
  <si>
    <t>9. Непредвиденные расходы</t>
  </si>
  <si>
    <t>Резерв</t>
  </si>
  <si>
    <t>Процент резерва</t>
  </si>
  <si>
    <t>%</t>
  </si>
  <si>
    <t>—</t>
  </si>
  <si>
    <t>Включён</t>
  </si>
  <si>
    <t>Рекомендуемый резерв 10%; можно изменить в жёлтой ячейке.</t>
  </si>
  <si>
    <t>СВОДНЫЙ БЮДЖЕТ</t>
  </si>
  <si>
    <t>ИТОГО С УЧЁТОМ РЕЗЕРВА</t>
  </si>
  <si>
    <t>Стоимость на одного участника (по числу участников)</t>
  </si>
  <si>
    <t>ПЛАН ПОДГОТОВКИ</t>
  </si>
  <si>
    <t>Срок относительно события</t>
  </si>
  <si>
    <t>Этап / задача</t>
  </si>
  <si>
    <t>Что должно быть на выходе</t>
  </si>
  <si>
    <t>Ответственный</t>
  </si>
  <si>
    <t>Участники / зависимости</t>
  </si>
  <si>
    <t>Статус</t>
  </si>
  <si>
    <t>T–8 недель</t>
  </si>
  <si>
    <t>Бриф с заказчиком и корпоративным университетом</t>
  </si>
  <si>
    <t>Цели конференции, ожидаемые результаты, аудитория, критерии успеха, ограничения</t>
  </si>
  <si>
    <t>Организатор</t>
  </si>
  <si>
    <t>Заказчик, корпоративный университет</t>
  </si>
  <si>
    <t>Не начато</t>
  </si>
  <si>
    <t>T–7 недель</t>
  </si>
  <si>
    <t>Согласовать формат, город и предварительный бюджет</t>
  </si>
  <si>
    <t>Утверждённые допущения, лимит бюджета, критерии выбора площадки</t>
  </si>
  <si>
    <t>Организатор + заказчик</t>
  </si>
  <si>
    <t>Финансы / закупки при необходимости</t>
  </si>
  <si>
    <t>T–6 недель</t>
  </si>
  <si>
    <t>Подобрать и сравнить 2–3 площадки</t>
  </si>
  <si>
    <t>Сравнительная таблица: цена, доступность, техника, питание, условия отмены</t>
  </si>
  <si>
    <t>Площадки, закупки</t>
  </si>
  <si>
    <t>Собрать черновик программы</t>
  </si>
  <si>
    <t>Темы, внутренние спикеры, форматы сессий, длительность, модерация</t>
  </si>
  <si>
    <t>Корпоративный университет</t>
  </si>
  <si>
    <t>Руководители, спикеры</t>
  </si>
  <si>
    <t>T–5 недель</t>
  </si>
  <si>
    <t>Согласовать площадку и условия</t>
  </si>
  <si>
    <t>Договор/заказ, подтверждённая стоимость, сроки оплаты и отмены</t>
  </si>
  <si>
    <t>Закупки, юристы, площадка</t>
  </si>
  <si>
    <t>T–4 недели</t>
  </si>
  <si>
    <t>Организовать командировки 5 участников</t>
  </si>
  <si>
    <t>Список командированных, билеты, гостиница, правила компенсации</t>
  </si>
  <si>
    <t>Организатор / тревел-координатор</t>
  </si>
  <si>
    <t>5 участников, бухгалтерия</t>
  </si>
  <si>
    <t>T–3 недели</t>
  </si>
  <si>
    <t>Утвердить программу и неформальную часть</t>
  </si>
  <si>
    <t>Финальная сетка, ответственные спикеры, сценарий активности</t>
  </si>
  <si>
    <t>Корпоративный университет + организатор</t>
  </si>
  <si>
    <t>Спикеры, ведущий/фасилитатор</t>
  </si>
  <si>
    <t>T–2 недели</t>
  </si>
  <si>
    <t>Собрать технические требования</t>
  </si>
  <si>
    <t>План рассадки, презентации, микрофоны, переходники, Wi-Fi, техника для гибридного подключения при необходимости</t>
  </si>
  <si>
    <t>Площадка, IT/техподдержка, спикеры</t>
  </si>
  <si>
    <t>T–10 дней</t>
  </si>
  <si>
    <t>Подтвердить питание и особые требования</t>
  </si>
  <si>
    <t>Количество порций, меню, аллергии/ограничения, расписание сервиса</t>
  </si>
  <si>
    <t>Площадка/кейтеринг, участники</t>
  </si>
  <si>
    <t>T–7 дней</t>
  </si>
  <si>
    <t>Отправить участникам инструкцию</t>
  </si>
  <si>
    <t>Адрес, маршрут, расписание, контакты, правила командировки</t>
  </si>
  <si>
    <t>Участники, руководители</t>
  </si>
  <si>
    <t>T–5 дней</t>
  </si>
  <si>
    <t>Собрать презентации и проверить контент</t>
  </si>
  <si>
    <t>Финальные версии презентаций, единый формат, порядок выступлений</t>
  </si>
  <si>
    <t>Спикеры, организатор</t>
  </si>
  <si>
    <t>T–3 дня</t>
  </si>
  <si>
    <t>Подтвердить все брони и подрядчиков</t>
  </si>
  <si>
    <t>Чек-лист подтверждений и контакты всех исполнителей</t>
  </si>
  <si>
    <t>Площадка, питание, гостиница, транспорт</t>
  </si>
  <si>
    <t>T–1 день</t>
  </si>
  <si>
    <t>Финальный прогон и подготовка материалов</t>
  </si>
  <si>
    <t>Проверенная техника, распечатки/бейджи, план Б, контакт-лист</t>
  </si>
  <si>
    <t>Техподдержка, площадка, спикеры</t>
  </si>
  <si>
    <t>День 1 и 2</t>
  </si>
  <si>
    <t>Координация на площадке</t>
  </si>
  <si>
    <t>Соблюдение тайминга, решение сбоев, контроль питания и подрядчиков</t>
  </si>
  <si>
    <t>Все ответственные</t>
  </si>
  <si>
    <t>T+1–3 дня</t>
  </si>
  <si>
    <t>Собрать обратную связь и закрыть бюджет</t>
  </si>
  <si>
    <t>Короткий опрос, выводы, фактические расходы, список улучшений</t>
  </si>
  <si>
    <t>Заказчик, корпоративный университет, финансы</t>
  </si>
  <si>
    <t>ТАЙМИНГ КОНФЕРЕНЦИИ — РАБОЧАЯ ВЕРСИЯ</t>
  </si>
  <si>
    <t>Черновой сценарий. Темы сессий, число спикеров и питание второго дня нужно подтвердить с заказчиком и корпоративным университетом.</t>
  </si>
  <si>
    <t>День</t>
  </si>
  <si>
    <t>Время</t>
  </si>
  <si>
    <t>Действия / содержание</t>
  </si>
  <si>
    <t>Организационные пометки</t>
  </si>
  <si>
    <t>День 1</t>
  </si>
  <si>
    <t>09:00–09:30</t>
  </si>
  <si>
    <t>Подготовка площадки</t>
  </si>
  <si>
    <t>Проверить рассадку, бейджи, навигацию, воду, презентации и оборудование</t>
  </si>
  <si>
    <t>Организатор + площадка</t>
  </si>
  <si>
    <t>Приехать заранее; проверить резервный ноутбук/переходники</t>
  </si>
  <si>
    <t>09:30–10:00</t>
  </si>
  <si>
    <t>Регистрация и welcome coffee</t>
  </si>
  <si>
    <t>Встреча участников, отметка присутствия, помощь с навигацией</t>
  </si>
  <si>
    <t>Список участников; контакт для опоздавших</t>
  </si>
  <si>
    <t>10:00–10:20</t>
  </si>
  <si>
    <t>Открытие</t>
  </si>
  <si>
    <t>Приветствие, цели и ожидаемые результаты конференции</t>
  </si>
  <si>
    <t>Заказчик / ведущий</t>
  </si>
  <si>
    <t>Проверить микрофон; обозначить правила вопросов</t>
  </si>
  <si>
    <t>10:20–11:30</t>
  </si>
  <si>
    <t>Рабочая сессия 1</t>
  </si>
  <si>
    <t>Стратегические приоритеты / итоги направления — тема уточняется</t>
  </si>
  <si>
    <t>Внутренний спикер</t>
  </si>
  <si>
    <t>Презентация заранее; 10 минут на вопросы</t>
  </si>
  <si>
    <t>11:30–11:50</t>
  </si>
  <si>
    <t>Кофе-брейк 1</t>
  </si>
  <si>
    <t>Перерыв</t>
  </si>
  <si>
    <t>Площадка + организатор</t>
  </si>
  <si>
    <t>Проверить готовность следующего блока</t>
  </si>
  <si>
    <t>11:50–13:00</t>
  </si>
  <si>
    <t>Рабочая сессия 2</t>
  </si>
  <si>
    <t>Обсуждение ключевых вызовов и практик — тема уточняется</t>
  </si>
  <si>
    <t>Внутренний спикер / модератор</t>
  </si>
  <si>
    <t>Фиксировать решения и открытые вопросы</t>
  </si>
  <si>
    <t>13:00–14:00</t>
  </si>
  <si>
    <t>Обед</t>
  </si>
  <si>
    <t>Обеденный перерыв</t>
  </si>
  <si>
    <t>Проверить количество порций и ограничения в питании</t>
  </si>
  <si>
    <t>14:00–15:15</t>
  </si>
  <si>
    <t>Рабочая сессия 3</t>
  </si>
  <si>
    <t>Групповая работа по кейсам / задачам макрорегиона</t>
  </si>
  <si>
    <t>Модератор + участники</t>
  </si>
  <si>
    <t>Флипчарты/стикеры; назначить фиксирующего</t>
  </si>
  <si>
    <t>15:15–15:35</t>
  </si>
  <si>
    <t>Кофе-брейк 2</t>
  </si>
  <si>
    <t>Сверить время возвращения участников</t>
  </si>
  <si>
    <t>15:35–16:50</t>
  </si>
  <si>
    <t>Рабочая сессия 4</t>
  </si>
  <si>
    <t>Представление результатов групп и обсуждение</t>
  </si>
  <si>
    <t>Группы + модератор</t>
  </si>
  <si>
    <t>Ограничить выступления по времени</t>
  </si>
  <si>
    <t>16:50–17:40</t>
  </si>
  <si>
    <t>Подведение итогов дня</t>
  </si>
  <si>
    <t>Ключевые выводы, решения, вопросы на второй день</t>
  </si>
  <si>
    <t>Заказчик / модератор</t>
  </si>
  <si>
    <t>Зафиксировать владельцев и сроки по действиям</t>
  </si>
  <si>
    <t>17:40–18:00</t>
  </si>
  <si>
    <t>Переход к вечерней программе</t>
  </si>
  <si>
    <t>Перерыв, перестановка пространства</t>
  </si>
  <si>
    <t>Проверить сценарий вечерней активности</t>
  </si>
  <si>
    <t>18:00–20:00</t>
  </si>
  <si>
    <t>Неформальная активность</t>
  </si>
  <si>
    <t>Командный формат / ужин — вариант уточняется</t>
  </si>
  <si>
    <t>Организатор + подрядчик</t>
  </si>
  <si>
    <t>Без обязательной деловой повестки; учесть транспорт</t>
  </si>
  <si>
    <t>День 2</t>
  </si>
  <si>
    <t>09:00–10:00</t>
  </si>
  <si>
    <t>Подготовка и сбор</t>
  </si>
  <si>
    <t>Проверка площадки и оборудования, встреча участников</t>
  </si>
  <si>
    <t>Подтвердить питание второго дня</t>
  </si>
  <si>
    <t>10:00–10:15</t>
  </si>
  <si>
    <t>Старт дня</t>
  </si>
  <si>
    <t>Короткое резюме первого дня и цели второго</t>
  </si>
  <si>
    <t>Ведущий / заказчик</t>
  </si>
  <si>
    <t>Показать список открытых вопросов</t>
  </si>
  <si>
    <t>10:15–11:30</t>
  </si>
  <si>
    <t>Рабочая сессия 5</t>
  </si>
  <si>
    <t>Приоритеты и план действий по итогам обсуждений</t>
  </si>
  <si>
    <t>Подготовить шаблон фиксации решений</t>
  </si>
  <si>
    <t>Кофе-брейк — заложен как допущение</t>
  </si>
  <si>
    <t>Подтвердить в заказе</t>
  </si>
  <si>
    <t>Рабочая сессия 6</t>
  </si>
  <si>
    <t>Разбор кейсов и обмен практиками</t>
  </si>
  <si>
    <t>Внутренние спикеры / участники</t>
  </si>
  <si>
    <t>Собрать вопросы заранее</t>
  </si>
  <si>
    <t>Обед — заложен как допущение</t>
  </si>
  <si>
    <t>Рабочая сессия 7</t>
  </si>
  <si>
    <t>Работа в группах: инициативы и критерии результата</t>
  </si>
  <si>
    <t>Назначить докладчика от каждой группы</t>
  </si>
  <si>
    <t>15:35–16:45</t>
  </si>
  <si>
    <t>Защита инициатив</t>
  </si>
  <si>
    <t>Краткие презентации, вопросы, уточнение ресурсов</t>
  </si>
  <si>
    <t>Участники + заказчик</t>
  </si>
  <si>
    <t>Таймкипер; фиксировать решения</t>
  </si>
  <si>
    <t>16:45–17:30</t>
  </si>
  <si>
    <t>Итоги и договорённости</t>
  </si>
  <si>
    <t>Приоритеты, ответственные, сроки, следующие шаги</t>
  </si>
  <si>
    <t>Сформировать список action items</t>
  </si>
  <si>
    <t>17:30–18:00</t>
  </si>
  <si>
    <t>Закрытие деловой программы</t>
  </si>
  <si>
    <t>Обратная связь, завершение конференции</t>
  </si>
  <si>
    <t>QR-код на короткий опрос</t>
  </si>
  <si>
    <t>Неформальное завершение / ужин — вариант уточняется</t>
  </si>
  <si>
    <t>Уточнить, действительно ли активность нужна во второй день</t>
  </si>
  <si>
    <t>Поставщик «Гастро»</t>
  </si>
  <si>
    <t>Тестовая смета, все цены условные без запрошенных КП и коммуникации с подрядчиками. Обычно работала по шаблонам наших смет, свои давно не делала</t>
  </si>
  <si>
    <t>Постаралась сделать выпадающие списки с возможным вариантом выбора разхных поставщиков</t>
  </si>
  <si>
    <t>2500 день на человека. В расчете 35 человек и 2 дня</t>
  </si>
  <si>
    <t>2100 день на человека. В расчете 35 человек и 2 дня. От площадки</t>
  </si>
  <si>
    <t>Отдельный поставщик, доставят еду</t>
  </si>
  <si>
    <t>Условная средняя стоимость.Тут, конечно, все очень примерно. Откуда летят, куда летят. Из разных городов/стран или из одного. Нужны ли траты на визу и диругие документы</t>
  </si>
  <si>
    <t>Условная стоимость.Если можно доехать на поезде. Как вариант с учетом нестабильности перелетов</t>
  </si>
  <si>
    <t>Несколько машин; число поездок уточнить. Если нет своего корпоративного такси</t>
  </si>
  <si>
    <t>Базовый вариант. Варианты с разным размещением, но в приоритете отель в котором будет проходить конференция</t>
  </si>
  <si>
    <t>Средний ценовой вариант. В приоритете отель в котором будет проходить конференция</t>
  </si>
  <si>
    <t>Повышенный уровень сервиса. В приоритете отель в котором будет проходить конференция</t>
  </si>
  <si>
    <t>Командный формат, материалы, ведущий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</si>
</sst>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\ &quot;₽&quot;"/>
  </numFmts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i/>
      <sz val="11"/>
      <color rgb="FF9C6500"/>
      <name val="Calibri"/>
      <family val="2"/>
    </font>
    <font>
      <b/>
      <sz val="16"/>
      <color rgb="FFFFFFFF"/>
      <name val="Arial"/>
      <family val="2"/>
    </font>
    <font>
      <b/>
      <sz val="10"/>
      <color rgb="FF17365D"/>
      <name val="Arial"/>
      <family val="2"/>
    </font>
    <font>
      <b/>
      <sz val="11"/>
      <color rgb="FF17365D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9"/>
      <color rgb="FF666666"/>
      <name val="Calibri"/>
      <family val="2"/>
    </font>
    <font>
      <b/>
      <sz val="12"/>
      <color rgb="FFFFFFFF"/>
      <name val="Calibri"/>
      <family val="2"/>
    </font>
    <font>
      <b/>
      <sz val="10"/>
      <color rgb="FF7F6000"/>
      <name val="Arial"/>
      <family val="2"/>
    </font>
    <font>
      <b/>
      <sz val="11"/>
      <color rgb="FF7F6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0"/>
      <name val="Arial"/>
      <family val="2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0354A"/>
      </patternFill>
    </fill>
    <fill>
      <patternFill patternType="solid">
        <fgColor rgb="FFFFF2CC"/>
      </patternFill>
    </fill>
    <fill>
      <patternFill patternType="solid">
        <fgColor rgb="FFDCEAF4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D5DDE3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/>
      <top style="thin">
        <color rgb="FFD9E1F2"/>
      </top>
      <bottom style="thin">
        <color rgb="FFD9E1F2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horizontal="center"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165" fontId="0" fillId="3" borderId="0" xfId="0" applyNumberFormat="1" applyFill="1" applyAlignment="1">
      <alignment vertical="top" wrapText="1"/>
    </xf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vertical="top" wrapText="1"/>
    </xf>
    <xf numFmtId="0" fontId="0" fillId="7" borderId="2" xfId="0" applyFill="1" applyBorder="1"/>
    <xf numFmtId="165" fontId="7" fillId="7" borderId="2" xfId="0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top" wrapText="1"/>
    </xf>
    <xf numFmtId="9" fontId="0" fillId="3" borderId="2" xfId="0" applyNumberFormat="1" applyFill="1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0" fontId="0" fillId="5" borderId="0" xfId="0" applyFill="1"/>
    <xf numFmtId="165" fontId="6" fillId="5" borderId="0" xfId="0" applyNumberFormat="1" applyFont="1" applyFill="1" applyAlignment="1">
      <alignment vertical="top" wrapText="1"/>
    </xf>
    <xf numFmtId="0" fontId="11" fillId="3" borderId="4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vertical="center" wrapText="1"/>
    </xf>
    <xf numFmtId="0" fontId="0" fillId="0" borderId="0" xfId="0"/>
    <xf numFmtId="0" fontId="5" fillId="6" borderId="0" xfId="0" applyFont="1" applyFill="1" applyAlignment="1">
      <alignment vertical="top" wrapText="1"/>
    </xf>
    <xf numFmtId="0" fontId="6" fillId="7" borderId="5" xfId="0" applyFont="1" applyFill="1" applyBorder="1" applyAlignment="1">
      <alignment vertical="top" wrapText="1"/>
    </xf>
    <xf numFmtId="0" fontId="0" fillId="0" borderId="3" xfId="0" applyBorder="1"/>
    <xf numFmtId="0" fontId="6" fillId="5" borderId="0" xfId="0" applyFont="1" applyFill="1" applyAlignment="1">
      <alignment vertical="top" wrapText="1"/>
    </xf>
    <xf numFmtId="0" fontId="1" fillId="2" borderId="0" xfId="0" applyFont="1" applyFill="1"/>
    <xf numFmtId="0" fontId="3" fillId="3" borderId="0" xfId="0" applyFont="1" applyFill="1"/>
    <xf numFmtId="0" fontId="4" fillId="8" borderId="0" xfId="0" applyFont="1" applyFill="1" applyAlignment="1">
      <alignment vertical="top" wrapText="1"/>
    </xf>
    <xf numFmtId="0" fontId="0" fillId="8" borderId="0" xfId="0" applyFill="1"/>
    <xf numFmtId="0" fontId="14" fillId="9" borderId="0" xfId="0" applyFont="1" applyFill="1" applyAlignment="1">
      <alignment vertical="top" wrapText="1"/>
    </xf>
    <xf numFmtId="0" fontId="0" fillId="9" borderId="0" xfId="0" applyFont="1" applyFill="1"/>
    <xf numFmtId="0" fontId="14" fillId="9" borderId="0" xfId="0" applyFont="1" applyFill="1" applyAlignment="1">
      <alignment vertical="center" wrapText="1"/>
    </xf>
    <xf numFmtId="0" fontId="15" fillId="0" borderId="0" xfId="0" applyFont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8" fillId="10" borderId="0" xfId="0" applyFont="1" applyFill="1" applyAlignment="1">
      <alignment vertical="top" wrapText="1"/>
    </xf>
    <xf numFmtId="0" fontId="0" fillId="10" borderId="0" xfId="0" applyFill="1"/>
    <xf numFmtId="0" fontId="16" fillId="10" borderId="0" xfId="0" applyFont="1" applyFill="1" applyAlignment="1">
      <alignment vertical="top" wrapText="1"/>
    </xf>
    <xf numFmtId="0" fontId="17" fillId="10" borderId="0" xfId="0" applyFont="1" applyFill="1"/>
    <xf numFmtId="0" fontId="10" fillId="8" borderId="0" xfId="0" applyFont="1" applyFill="1" applyAlignment="1">
      <alignment vertical="top" wrapText="1"/>
    </xf>
    <xf numFmtId="0" fontId="0" fillId="8" borderId="0" xfId="0" applyFill="1"/>
    <xf numFmtId="165" fontId="10" fillId="8" borderId="0" xfId="0" applyNumberFormat="1" applyFont="1" applyFill="1" applyAlignment="1">
      <alignment vertical="top" wrapText="1"/>
    </xf>
  </cellXfs>
  <cellStyles count="1">
    <cellStyle name="Обычный" xfId="0" builtinId="0"/>
  </cellStyles>
  <dxfs count="1">
    <dxf>
      <fill>
        <patternFill patternType="solid">
          <f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"/>
  <sheetViews>
    <sheetView showGridLines="0" tabSelected="1" zoomScale="85" workbookViewId="0">
      <pane ySplit="7" topLeftCell="A8" activePane="bottomLeft" state="frozen"/>
      <selection pane="bottomLeft" activeCell="G60" sqref="G60"/>
    </sheetView>
  </sheetViews>
  <sheetFormatPr baseColWidth="10" defaultColWidth="8.83203125" defaultRowHeight="15" x14ac:dyDescent="0.2"/>
  <cols>
    <col min="1" max="1" width="23" customWidth="1"/>
    <col min="2" max="2" width="48" customWidth="1"/>
    <col min="3" max="3" width="14" customWidth="1"/>
    <col min="4" max="4" width="13" customWidth="1"/>
    <col min="5" max="5" width="18" customWidth="1"/>
    <col min="6" max="6" width="24" customWidth="1"/>
    <col min="7" max="7" width="18" customWidth="1"/>
    <col min="8" max="8" width="54" customWidth="1"/>
  </cols>
  <sheetData>
    <row r="1" spans="1:8" ht="30" customHeight="1" x14ac:dyDescent="0.2">
      <c r="A1" s="31" t="s">
        <v>0</v>
      </c>
      <c r="B1" s="32"/>
      <c r="C1" s="32"/>
      <c r="D1" s="32"/>
      <c r="E1" s="32"/>
      <c r="F1" s="32"/>
      <c r="G1" s="32"/>
      <c r="H1" s="32"/>
    </row>
    <row r="2" spans="1:8" ht="25" customHeight="1" x14ac:dyDescent="0.2">
      <c r="A2" s="33" t="s">
        <v>296</v>
      </c>
      <c r="B2" s="34"/>
      <c r="C2" s="34"/>
      <c r="D2" s="34"/>
      <c r="E2" s="34"/>
      <c r="F2" s="34"/>
      <c r="G2" s="34"/>
      <c r="H2" s="34"/>
    </row>
    <row r="3" spans="1:8" ht="32" customHeight="1" x14ac:dyDescent="0.2">
      <c r="A3" s="35" t="s">
        <v>297</v>
      </c>
      <c r="B3" s="34"/>
      <c r="C3" s="34"/>
      <c r="D3" s="34"/>
      <c r="E3" s="34"/>
      <c r="F3" s="34"/>
      <c r="G3" s="34"/>
      <c r="H3" s="34"/>
    </row>
    <row r="4" spans="1:8" ht="24" customHeight="1" x14ac:dyDescent="0.2"/>
    <row r="5" spans="1:8" ht="32" customHeight="1" x14ac:dyDescent="0.2">
      <c r="A5" s="36" t="s">
        <v>1</v>
      </c>
      <c r="B5" s="7">
        <v>30</v>
      </c>
      <c r="C5" s="36" t="s">
        <v>2</v>
      </c>
      <c r="D5" s="7">
        <v>5</v>
      </c>
      <c r="E5" s="36" t="s">
        <v>3</v>
      </c>
      <c r="F5" s="7">
        <v>2</v>
      </c>
      <c r="G5" s="36" t="s">
        <v>4</v>
      </c>
      <c r="H5" s="7">
        <v>2</v>
      </c>
    </row>
    <row r="6" spans="1:8" ht="32" customHeight="1" x14ac:dyDescent="0.2"/>
    <row r="7" spans="1:8" ht="32" customHeight="1" x14ac:dyDescent="0.2">
      <c r="A7" s="37" t="s">
        <v>5</v>
      </c>
      <c r="B7" s="37" t="s">
        <v>6</v>
      </c>
      <c r="C7" s="37" t="s">
        <v>7</v>
      </c>
      <c r="D7" s="37" t="s">
        <v>8</v>
      </c>
      <c r="E7" s="37" t="s">
        <v>9</v>
      </c>
      <c r="F7" s="37" t="s">
        <v>10</v>
      </c>
      <c r="G7" s="37" t="s">
        <v>11</v>
      </c>
      <c r="H7" s="37" t="s">
        <v>12</v>
      </c>
    </row>
    <row r="8" spans="1:8" ht="23" customHeight="1" x14ac:dyDescent="0.2">
      <c r="A8" s="38" t="s">
        <v>13</v>
      </c>
      <c r="B8" s="39"/>
      <c r="C8" s="39"/>
      <c r="D8" s="39"/>
      <c r="E8" s="39"/>
      <c r="F8" s="39"/>
      <c r="G8" s="39"/>
      <c r="H8" s="39"/>
    </row>
    <row r="9" spans="1:8" ht="32" customHeight="1" x14ac:dyDescent="0.2">
      <c r="A9" s="6" t="s">
        <v>14</v>
      </c>
      <c r="F9" s="22" t="s">
        <v>15</v>
      </c>
      <c r="H9" s="8" t="s">
        <v>16</v>
      </c>
    </row>
    <row r="10" spans="1:8" ht="32" customHeight="1" x14ac:dyDescent="0.2">
      <c r="A10" s="9" t="s">
        <v>17</v>
      </c>
      <c r="B10" s="9" t="s">
        <v>18</v>
      </c>
      <c r="C10" s="9" t="s">
        <v>19</v>
      </c>
      <c r="D10" s="10">
        <f>$F$5</f>
        <v>2</v>
      </c>
      <c r="E10" s="11">
        <v>65000</v>
      </c>
      <c r="F10" s="12" t="str">
        <f>IF($F$9="Лофт «Север»","ВЫБРАНО","—")</f>
        <v>ВЫБРАНО</v>
      </c>
      <c r="G10" s="13">
        <f>IF($F$9="Лофт «Север»",D10*E10,0)</f>
        <v>130000</v>
      </c>
      <c r="H10" s="9" t="s">
        <v>20</v>
      </c>
    </row>
    <row r="11" spans="1:8" ht="32" customHeight="1" x14ac:dyDescent="0.2">
      <c r="A11" s="9" t="s">
        <v>17</v>
      </c>
      <c r="B11" s="9" t="s">
        <v>21</v>
      </c>
      <c r="C11" s="9" t="s">
        <v>19</v>
      </c>
      <c r="D11" s="10">
        <f>$F$5</f>
        <v>2</v>
      </c>
      <c r="E11" s="11">
        <v>52000</v>
      </c>
      <c r="F11" s="12" t="str">
        <f>IF($F$9="Конференц-зал «Контур»","ВЫБРАНО","—")</f>
        <v>—</v>
      </c>
      <c r="G11" s="13">
        <f>IF($F$9="Конференц-зал «Контур»",D11*E11,0)</f>
        <v>0</v>
      </c>
      <c r="H11" s="9" t="s">
        <v>22</v>
      </c>
    </row>
    <row r="12" spans="1:8" ht="32" customHeight="1" x14ac:dyDescent="0.2">
      <c r="A12" s="9" t="s">
        <v>23</v>
      </c>
      <c r="B12" s="9" t="s">
        <v>24</v>
      </c>
      <c r="C12" s="9" t="s">
        <v>19</v>
      </c>
      <c r="D12" s="10">
        <f>$F$5</f>
        <v>2</v>
      </c>
      <c r="E12" s="11">
        <v>18000</v>
      </c>
      <c r="F12" s="12" t="str">
        <f>IF($F$9="Конференц-зал «Контур»","ВЫБРАНО","—")</f>
        <v>—</v>
      </c>
      <c r="G12" s="13">
        <f>IF($F$9="Конференц-зал «Контур»",D12*E12,0)</f>
        <v>0</v>
      </c>
      <c r="H12" s="9" t="s">
        <v>25</v>
      </c>
    </row>
    <row r="13" spans="1:8" ht="32" customHeight="1" x14ac:dyDescent="0.2">
      <c r="A13" s="9" t="s">
        <v>17</v>
      </c>
      <c r="B13" s="9" t="s">
        <v>26</v>
      </c>
      <c r="C13" s="9" t="s">
        <v>19</v>
      </c>
      <c r="D13" s="10">
        <f>$F$5</f>
        <v>2</v>
      </c>
      <c r="E13" s="11">
        <v>82000</v>
      </c>
      <c r="F13" s="12" t="str">
        <f>IF($F$9="Загородный комплекс","ВЫБРАНО","—")</f>
        <v>—</v>
      </c>
      <c r="G13" s="13">
        <f>IF($F$9="Загородный комплекс",D13*E13,0)</f>
        <v>0</v>
      </c>
      <c r="H13" s="9" t="s">
        <v>27</v>
      </c>
    </row>
    <row r="14" spans="1:8" ht="32" customHeight="1" x14ac:dyDescent="0.2">
      <c r="A14" s="26" t="s">
        <v>28</v>
      </c>
      <c r="B14" s="27"/>
      <c r="C14" s="27"/>
      <c r="D14" s="27"/>
      <c r="E14" s="27"/>
      <c r="F14" s="27"/>
      <c r="G14" s="15">
        <f>SUM(G10:G13)</f>
        <v>130000</v>
      </c>
      <c r="H14" s="14"/>
    </row>
    <row r="15" spans="1:8" ht="23" customHeight="1" x14ac:dyDescent="0.2">
      <c r="A15" s="38" t="s">
        <v>29</v>
      </c>
      <c r="B15" s="39"/>
      <c r="C15" s="39"/>
      <c r="D15" s="39"/>
      <c r="E15" s="39"/>
      <c r="F15" s="39"/>
      <c r="G15" s="39"/>
      <c r="H15" s="39"/>
    </row>
    <row r="16" spans="1:8" ht="32" customHeight="1" x14ac:dyDescent="0.2">
      <c r="A16" s="6" t="s">
        <v>30</v>
      </c>
      <c r="F16" s="22" t="s">
        <v>295</v>
      </c>
      <c r="H16" s="8" t="s">
        <v>31</v>
      </c>
    </row>
    <row r="17" spans="1:8" ht="32" customHeight="1" x14ac:dyDescent="0.2">
      <c r="A17" s="9" t="s">
        <v>32</v>
      </c>
      <c r="B17" s="9" t="s">
        <v>33</v>
      </c>
      <c r="C17" s="9" t="s">
        <v>34</v>
      </c>
      <c r="D17" s="10">
        <f>($B$5+5)*$F$5</f>
        <v>70</v>
      </c>
      <c r="E17" s="11">
        <v>2500</v>
      </c>
      <c r="F17" s="12" t="str">
        <f>IF($F$16="От площадки","ВЫБРАНО","—")</f>
        <v>—</v>
      </c>
      <c r="G17" s="13">
        <f>IF($F$16="От площадки",D17*E17,0)</f>
        <v>0</v>
      </c>
      <c r="H17" s="9" t="s">
        <v>298</v>
      </c>
    </row>
    <row r="18" spans="1:8" ht="32" customHeight="1" x14ac:dyDescent="0.2">
      <c r="A18" s="9" t="s">
        <v>32</v>
      </c>
      <c r="B18" s="9" t="s">
        <v>35</v>
      </c>
      <c r="C18" s="9" t="s">
        <v>34</v>
      </c>
      <c r="D18" s="10">
        <f>($B$5+5)*$F$5</f>
        <v>70</v>
      </c>
      <c r="E18" s="11">
        <v>2100</v>
      </c>
      <c r="F18" s="12" t="str">
        <f>IF($F$16="От площадки загородного комплекса — кофе-брейки и обеды","ВЫБРАНО","—")</f>
        <v>—</v>
      </c>
      <c r="G18" s="13">
        <f>IF($F$16="От площадки загородного комплекса — кофе-брейки и обеды",D18*E18,0)</f>
        <v>0</v>
      </c>
      <c r="H18" s="9" t="s">
        <v>299</v>
      </c>
    </row>
    <row r="19" spans="1:8" ht="31" customHeight="1" x14ac:dyDescent="0.2">
      <c r="A19" s="9" t="s">
        <v>32</v>
      </c>
      <c r="B19" s="9" t="s">
        <v>36</v>
      </c>
      <c r="C19" s="9" t="s">
        <v>34</v>
      </c>
      <c r="D19" s="10">
        <f>($B$5+5)*$F$5</f>
        <v>70</v>
      </c>
      <c r="E19" s="11">
        <v>2350</v>
      </c>
      <c r="F19" s="12" t="str">
        <f>IF($F$16="Поставщик «Гастро»","ВЫБРАНО","—")</f>
        <v>ВЫБРАНО</v>
      </c>
      <c r="G19" s="13">
        <f>IF($F$16="Поставщик «Гастро»",D19*E19,0)</f>
        <v>164500</v>
      </c>
      <c r="H19" s="9" t="s">
        <v>300</v>
      </c>
    </row>
    <row r="20" spans="1:8" ht="31" customHeight="1" x14ac:dyDescent="0.2">
      <c r="A20" s="26" t="s">
        <v>37</v>
      </c>
      <c r="B20" s="27"/>
      <c r="C20" s="27"/>
      <c r="D20" s="27"/>
      <c r="E20" s="27"/>
      <c r="F20" s="27"/>
      <c r="G20" s="15">
        <f>SUM(G17:G19)</f>
        <v>164500</v>
      </c>
      <c r="H20" s="14"/>
    </row>
    <row r="21" spans="1:8" ht="23" customHeight="1" x14ac:dyDescent="0.2">
      <c r="A21" s="38" t="s">
        <v>38</v>
      </c>
      <c r="B21" s="39"/>
      <c r="C21" s="39"/>
      <c r="D21" s="39"/>
      <c r="E21" s="39"/>
      <c r="F21" s="39"/>
      <c r="G21" s="39"/>
      <c r="H21" s="39"/>
    </row>
    <row r="22" spans="1:8" ht="31" customHeight="1" x14ac:dyDescent="0.2">
      <c r="A22" s="6" t="s">
        <v>39</v>
      </c>
      <c r="F22" s="22" t="s">
        <v>40</v>
      </c>
      <c r="H22" s="8" t="s">
        <v>41</v>
      </c>
    </row>
    <row r="23" spans="1:8" ht="31" customHeight="1" x14ac:dyDescent="0.2">
      <c r="A23" s="9" t="s">
        <v>42</v>
      </c>
      <c r="B23" s="9" t="s">
        <v>43</v>
      </c>
      <c r="C23" s="9" t="s">
        <v>44</v>
      </c>
      <c r="D23" s="10">
        <f>$D$5</f>
        <v>5</v>
      </c>
      <c r="E23" s="11">
        <v>26000</v>
      </c>
      <c r="F23" s="12" t="str">
        <f>IF($F$22="Самолёт — прямой рейс","ВЫБРАНО","—")</f>
        <v>ВЫБРАНО</v>
      </c>
      <c r="G23" s="13">
        <f>IF($F$22="Самолёт — прямой рейс",D23*E23,0)</f>
        <v>130000</v>
      </c>
      <c r="H23" s="9" t="s">
        <v>301</v>
      </c>
    </row>
    <row r="24" spans="1:8" ht="31" customHeight="1" x14ac:dyDescent="0.2">
      <c r="A24" s="9" t="s">
        <v>42</v>
      </c>
      <c r="B24" s="9" t="s">
        <v>45</v>
      </c>
      <c r="C24" s="9" t="s">
        <v>44</v>
      </c>
      <c r="D24" s="10">
        <f>$D$5</f>
        <v>5</v>
      </c>
      <c r="E24" s="11">
        <v>18500</v>
      </c>
      <c r="F24" s="12" t="str">
        <f>IF($F$22="Самолёт — с пересадкой","ВЫБРАНО","—")</f>
        <v>—</v>
      </c>
      <c r="G24" s="13">
        <f>IF($F$22="Самолёт — с пересадкой",D24*E24,0)</f>
        <v>0</v>
      </c>
      <c r="H24" s="9" t="s">
        <v>46</v>
      </c>
    </row>
    <row r="25" spans="1:8" ht="31" customHeight="1" x14ac:dyDescent="0.2">
      <c r="A25" s="9" t="s">
        <v>42</v>
      </c>
      <c r="B25" s="9" t="s">
        <v>47</v>
      </c>
      <c r="C25" s="9" t="s">
        <v>44</v>
      </c>
      <c r="D25" s="10">
        <f>$D$5</f>
        <v>5</v>
      </c>
      <c r="E25" s="11">
        <v>14500</v>
      </c>
      <c r="F25" s="12" t="str">
        <f>IF($F$22="Поезд","ВЫБРАНО","—")</f>
        <v>—</v>
      </c>
      <c r="G25" s="13">
        <f>IF($F$22="Поезд",D25*E25,0)</f>
        <v>0</v>
      </c>
      <c r="H25" s="9" t="s">
        <v>302</v>
      </c>
    </row>
    <row r="26" spans="1:8" ht="31" customHeight="1" x14ac:dyDescent="0.2">
      <c r="A26" s="26" t="s">
        <v>48</v>
      </c>
      <c r="B26" s="27"/>
      <c r="C26" s="27"/>
      <c r="D26" s="27"/>
      <c r="E26" s="27"/>
      <c r="F26" s="27"/>
      <c r="G26" s="15">
        <f>SUM(G23:G25)</f>
        <v>130000</v>
      </c>
      <c r="H26" s="14"/>
    </row>
    <row r="27" spans="1:8" ht="23" customHeight="1" x14ac:dyDescent="0.2">
      <c r="A27" s="38" t="s">
        <v>49</v>
      </c>
      <c r="B27" s="39"/>
      <c r="C27" s="39"/>
      <c r="D27" s="39"/>
      <c r="E27" s="39"/>
      <c r="F27" s="39"/>
      <c r="G27" s="39"/>
      <c r="H27" s="39"/>
    </row>
    <row r="28" spans="1:8" ht="31" customHeight="1" x14ac:dyDescent="0.2">
      <c r="A28" s="6" t="s">
        <v>50</v>
      </c>
      <c r="F28" s="22" t="s">
        <v>51</v>
      </c>
      <c r="H28" s="8" t="s">
        <v>52</v>
      </c>
    </row>
    <row r="29" spans="1:8" ht="31" customHeight="1" x14ac:dyDescent="0.2">
      <c r="A29" s="9" t="s">
        <v>53</v>
      </c>
      <c r="B29" s="9" t="s">
        <v>54</v>
      </c>
      <c r="C29" s="9" t="s">
        <v>55</v>
      </c>
      <c r="D29" s="10">
        <v>1</v>
      </c>
      <c r="E29" s="11">
        <v>18000</v>
      </c>
      <c r="F29" s="12" t="str">
        <f>IF($F$28="Такси / бизнес-класс","ВЫБРАНО","—")</f>
        <v>ВЫБРАНО</v>
      </c>
      <c r="G29" s="13">
        <f>IF($F$28="Такси / бизнес-класс",D29*E29,0)</f>
        <v>18000</v>
      </c>
      <c r="H29" s="9" t="s">
        <v>303</v>
      </c>
    </row>
    <row r="30" spans="1:8" ht="31" customHeight="1" x14ac:dyDescent="0.2">
      <c r="A30" s="9" t="s">
        <v>53</v>
      </c>
      <c r="B30" s="9" t="s">
        <v>56</v>
      </c>
      <c r="C30" s="9" t="s">
        <v>55</v>
      </c>
      <c r="D30" s="10">
        <v>1</v>
      </c>
      <c r="E30" s="11">
        <v>24000</v>
      </c>
      <c r="F30" s="12" t="str">
        <f>IF($F$28="Минивэн","ВЫБРАНО","—")</f>
        <v>—</v>
      </c>
      <c r="G30" s="13">
        <f>IF($F$28="Минивэн",D30*E30,0)</f>
        <v>0</v>
      </c>
      <c r="H30" s="9" t="s">
        <v>57</v>
      </c>
    </row>
    <row r="31" spans="1:8" ht="31" customHeight="1" x14ac:dyDescent="0.2">
      <c r="A31" s="9" t="s">
        <v>53</v>
      </c>
      <c r="B31" s="9" t="s">
        <v>58</v>
      </c>
      <c r="C31" s="9" t="s">
        <v>55</v>
      </c>
      <c r="D31" s="10">
        <v>1</v>
      </c>
      <c r="E31" s="11">
        <v>32000</v>
      </c>
      <c r="F31" s="12" t="str">
        <f>IF($F$28="Заказной автобус","ВЫБРАНО","—")</f>
        <v>—</v>
      </c>
      <c r="G31" s="13">
        <f>IF($F$28="Заказной автобус",D31*E31,0)</f>
        <v>0</v>
      </c>
      <c r="H31" s="9" t="s">
        <v>59</v>
      </c>
    </row>
    <row r="32" spans="1:8" ht="31" customHeight="1" x14ac:dyDescent="0.2">
      <c r="A32" s="26" t="s">
        <v>60</v>
      </c>
      <c r="B32" s="27"/>
      <c r="C32" s="27"/>
      <c r="D32" s="27"/>
      <c r="E32" s="27"/>
      <c r="F32" s="27"/>
      <c r="G32" s="15">
        <f>SUM(G29:G31)</f>
        <v>18000</v>
      </c>
      <c r="H32" s="14"/>
    </row>
    <row r="33" spans="1:8" ht="23" customHeight="1" x14ac:dyDescent="0.2">
      <c r="A33" s="38" t="s">
        <v>61</v>
      </c>
      <c r="B33" s="39"/>
      <c r="C33" s="39"/>
      <c r="D33" s="39"/>
      <c r="E33" s="39"/>
      <c r="F33" s="39"/>
      <c r="G33" s="39"/>
      <c r="H33" s="39"/>
    </row>
    <row r="34" spans="1:8" ht="31" customHeight="1" x14ac:dyDescent="0.2">
      <c r="A34" s="6" t="s">
        <v>62</v>
      </c>
      <c r="F34" s="22" t="s">
        <v>63</v>
      </c>
      <c r="H34" s="8" t="s">
        <v>64</v>
      </c>
    </row>
    <row r="35" spans="1:8" ht="31" customHeight="1" x14ac:dyDescent="0.2">
      <c r="A35" s="9" t="s">
        <v>65</v>
      </c>
      <c r="B35" s="9" t="s">
        <v>63</v>
      </c>
      <c r="C35" s="9" t="s">
        <v>66</v>
      </c>
      <c r="D35" s="10">
        <f>$D$5*$H$5</f>
        <v>10</v>
      </c>
      <c r="E35" s="11">
        <v>4800</v>
      </c>
      <c r="F35" s="12" t="str">
        <f>IF($F$34="Отель «Стандарт» 3★","ВЫБРАНО","—")</f>
        <v>ВЫБРАНО</v>
      </c>
      <c r="G35" s="13">
        <f>IF($F$34="Отель «Стандарт» 3★",D35*E35,0)</f>
        <v>48000</v>
      </c>
      <c r="H35" s="9" t="s">
        <v>304</v>
      </c>
    </row>
    <row r="36" spans="1:8" ht="31" customHeight="1" x14ac:dyDescent="0.2">
      <c r="A36" s="9" t="s">
        <v>65</v>
      </c>
      <c r="B36" s="9" t="s">
        <v>67</v>
      </c>
      <c r="C36" s="9" t="s">
        <v>66</v>
      </c>
      <c r="D36" s="10">
        <f>$D$5*$H$5</f>
        <v>10</v>
      </c>
      <c r="E36" s="11">
        <v>7200</v>
      </c>
      <c r="F36" s="12" t="str">
        <f>IF($F$34="Отель «Комфорт» 4★","ВЫБРАНО","—")</f>
        <v>—</v>
      </c>
      <c r="G36" s="13">
        <f>IF($F$34="Отель «Комфорт» 4★",D36*E36,0)</f>
        <v>0</v>
      </c>
      <c r="H36" s="9" t="s">
        <v>305</v>
      </c>
    </row>
    <row r="37" spans="1:8" ht="31" customHeight="1" x14ac:dyDescent="0.2">
      <c r="A37" s="9" t="s">
        <v>65</v>
      </c>
      <c r="B37" s="9" t="s">
        <v>68</v>
      </c>
      <c r="C37" s="9" t="s">
        <v>66</v>
      </c>
      <c r="D37" s="10">
        <f>$D$5*$H$5</f>
        <v>10</v>
      </c>
      <c r="E37" s="11">
        <v>11500</v>
      </c>
      <c r="F37" s="12" t="str">
        <f>IF($F$34="Отель «Премиум» 5★","ВЫБРАНО","—")</f>
        <v>—</v>
      </c>
      <c r="G37" s="13">
        <f>IF($F$34="Отель «Премиум» 5★",D37*E37,0)</f>
        <v>0</v>
      </c>
      <c r="H37" s="9" t="s">
        <v>306</v>
      </c>
    </row>
    <row r="38" spans="1:8" ht="31" customHeight="1" x14ac:dyDescent="0.2">
      <c r="A38" s="26" t="s">
        <v>69</v>
      </c>
      <c r="B38" s="27"/>
      <c r="C38" s="27"/>
      <c r="D38" s="27"/>
      <c r="E38" s="27"/>
      <c r="F38" s="27"/>
      <c r="G38" s="15">
        <f>SUM(G35:G37)</f>
        <v>48000</v>
      </c>
      <c r="H38" s="14"/>
    </row>
    <row r="39" spans="1:8" ht="23" customHeight="1" x14ac:dyDescent="0.2">
      <c r="A39" s="38" t="s">
        <v>70</v>
      </c>
      <c r="B39" s="39"/>
      <c r="C39" s="39"/>
      <c r="D39" s="39"/>
      <c r="E39" s="39"/>
      <c r="F39" s="39"/>
      <c r="G39" s="39"/>
      <c r="H39" s="39"/>
    </row>
    <row r="40" spans="1:8" ht="31" customHeight="1" x14ac:dyDescent="0.2">
      <c r="A40" s="6" t="s">
        <v>71</v>
      </c>
      <c r="F40" s="22" t="s">
        <v>72</v>
      </c>
      <c r="H40" s="8" t="s">
        <v>73</v>
      </c>
    </row>
    <row r="41" spans="1:8" ht="31" customHeight="1" x14ac:dyDescent="0.2">
      <c r="A41" s="9" t="s">
        <v>74</v>
      </c>
      <c r="B41" s="9" t="s">
        <v>75</v>
      </c>
      <c r="C41" s="9" t="s">
        <v>55</v>
      </c>
      <c r="D41" s="10">
        <v>1</v>
      </c>
      <c r="E41" s="11">
        <v>85000</v>
      </c>
      <c r="F41" s="12" t="str">
        <f>IF($F$40="Вариант 1 — камерный вечер","ВЫБРАНО","—")</f>
        <v>ВЫБРАНО</v>
      </c>
      <c r="G41" s="13">
        <f>IF($F$40="Вариант 1 — камерный вечер",D41*E41,0)</f>
        <v>85000</v>
      </c>
      <c r="H41" s="9" t="s">
        <v>76</v>
      </c>
    </row>
    <row r="42" spans="1:8" ht="31" customHeight="1" x14ac:dyDescent="0.2">
      <c r="A42" s="9" t="s">
        <v>74</v>
      </c>
      <c r="B42" s="9" t="s">
        <v>77</v>
      </c>
      <c r="C42" s="9" t="s">
        <v>55</v>
      </c>
      <c r="D42" s="10">
        <v>1</v>
      </c>
      <c r="E42" s="11">
        <v>135000</v>
      </c>
      <c r="F42" s="12" t="str">
        <f>IF($F$40="Вариант 2 — командная активность","ВЫБРАНО","—")</f>
        <v>—</v>
      </c>
      <c r="G42" s="13">
        <f>IF($F$40="Вариант 2 — командная активность",D42*E42,0)</f>
        <v>0</v>
      </c>
      <c r="H42" s="9" t="s">
        <v>307</v>
      </c>
    </row>
    <row r="43" spans="1:8" ht="31" customHeight="1" x14ac:dyDescent="0.2">
      <c r="A43" s="9" t="s">
        <v>74</v>
      </c>
      <c r="B43" s="9" t="s">
        <v>78</v>
      </c>
      <c r="C43" s="9" t="s">
        <v>55</v>
      </c>
      <c r="D43" s="10">
        <v>1</v>
      </c>
      <c r="E43" s="11">
        <v>210000</v>
      </c>
      <c r="F43" s="12" t="str">
        <f>IF($F$40="Вариант 3 — расширенная программа","ВЫБРАНО","—")</f>
        <v>—</v>
      </c>
      <c r="G43" s="13">
        <f>IF($F$40="Вариант 3 — расширенная программа",D43*E43,0)</f>
        <v>0</v>
      </c>
      <c r="H43" s="9" t="s">
        <v>79</v>
      </c>
    </row>
    <row r="44" spans="1:8" ht="31" customHeight="1" x14ac:dyDescent="0.2">
      <c r="A44" s="26" t="s">
        <v>80</v>
      </c>
      <c r="B44" s="27"/>
      <c r="C44" s="27"/>
      <c r="D44" s="27"/>
      <c r="E44" s="27"/>
      <c r="F44" s="27"/>
      <c r="G44" s="15">
        <f>SUM(G41:G43)</f>
        <v>85000</v>
      </c>
      <c r="H44" s="14"/>
    </row>
    <row r="45" spans="1:8" ht="25" customHeight="1" x14ac:dyDescent="0.2">
      <c r="A45" s="40" t="s">
        <v>81</v>
      </c>
      <c r="B45" s="41"/>
      <c r="C45" s="41"/>
      <c r="D45" s="41"/>
      <c r="E45" s="41"/>
      <c r="F45" s="41"/>
      <c r="G45" s="41"/>
      <c r="H45" s="41"/>
    </row>
    <row r="46" spans="1:8" ht="31" customHeight="1" x14ac:dyDescent="0.2">
      <c r="A46" s="9" t="s">
        <v>82</v>
      </c>
      <c r="B46" s="9" t="s">
        <v>83</v>
      </c>
      <c r="C46" s="9" t="s">
        <v>84</v>
      </c>
      <c r="D46" s="10">
        <v>35</v>
      </c>
      <c r="E46" s="11">
        <v>180</v>
      </c>
      <c r="F46" s="16"/>
      <c r="G46" s="13">
        <f>D46*E46</f>
        <v>6300</v>
      </c>
      <c r="H46" s="9" t="s">
        <v>85</v>
      </c>
    </row>
    <row r="47" spans="1:8" ht="31" customHeight="1" x14ac:dyDescent="0.2">
      <c r="A47" s="9" t="s">
        <v>86</v>
      </c>
      <c r="B47" s="9" t="s">
        <v>87</v>
      </c>
      <c r="C47" s="9" t="s">
        <v>84</v>
      </c>
      <c r="D47" s="10">
        <v>35</v>
      </c>
      <c r="E47" s="11">
        <v>220</v>
      </c>
      <c r="F47" s="16"/>
      <c r="G47" s="13">
        <f>D47*E47</f>
        <v>7700</v>
      </c>
      <c r="H47" s="9" t="s">
        <v>85</v>
      </c>
    </row>
    <row r="48" spans="1:8" ht="31" customHeight="1" x14ac:dyDescent="0.2">
      <c r="A48" s="9" t="s">
        <v>88</v>
      </c>
      <c r="B48" s="9" t="s">
        <v>89</v>
      </c>
      <c r="C48" s="9" t="s">
        <v>84</v>
      </c>
      <c r="D48" s="10">
        <v>35</v>
      </c>
      <c r="E48" s="11">
        <v>1800</v>
      </c>
      <c r="F48" s="23" t="s">
        <v>90</v>
      </c>
      <c r="G48" s="13">
        <f>IF(F48="Да",D48*E48,0)</f>
        <v>0</v>
      </c>
      <c r="H48" s="9" t="s">
        <v>91</v>
      </c>
    </row>
    <row r="49" spans="1:8" ht="31" customHeight="1" x14ac:dyDescent="0.2">
      <c r="A49" s="9" t="s">
        <v>92</v>
      </c>
      <c r="B49" s="9" t="s">
        <v>93</v>
      </c>
      <c r="C49" s="9" t="s">
        <v>84</v>
      </c>
      <c r="D49" s="10">
        <v>35</v>
      </c>
      <c r="E49" s="11">
        <v>450</v>
      </c>
      <c r="F49" s="23" t="s">
        <v>90</v>
      </c>
      <c r="G49" s="13">
        <f>IF(F49="Да",D49*E49,0)</f>
        <v>0</v>
      </c>
      <c r="H49" s="9" t="s">
        <v>94</v>
      </c>
    </row>
    <row r="50" spans="1:8" ht="31" customHeight="1" x14ac:dyDescent="0.2">
      <c r="A50" s="9" t="s">
        <v>95</v>
      </c>
      <c r="B50" s="9" t="s">
        <v>96</v>
      </c>
      <c r="C50" s="9" t="s">
        <v>84</v>
      </c>
      <c r="D50" s="10">
        <v>35</v>
      </c>
      <c r="E50" s="11">
        <v>300</v>
      </c>
      <c r="F50" s="23" t="s">
        <v>90</v>
      </c>
      <c r="G50" s="13">
        <f>IF(F50="Да",D50*E50,0)</f>
        <v>0</v>
      </c>
      <c r="H50" s="9" t="s">
        <v>94</v>
      </c>
    </row>
    <row r="51" spans="1:8" ht="31" customHeight="1" x14ac:dyDescent="0.2">
      <c r="A51" s="9" t="s">
        <v>97</v>
      </c>
      <c r="B51" s="9" t="s">
        <v>98</v>
      </c>
      <c r="C51" s="9" t="s">
        <v>84</v>
      </c>
      <c r="D51" s="10">
        <v>35</v>
      </c>
      <c r="E51" s="11">
        <v>1200</v>
      </c>
      <c r="F51" s="23" t="s">
        <v>90</v>
      </c>
      <c r="G51" s="13">
        <f>IF(F51="Да",D51*E51,0)</f>
        <v>0</v>
      </c>
      <c r="H51" s="9" t="s">
        <v>94</v>
      </c>
    </row>
    <row r="52" spans="1:8" ht="31" customHeight="1" x14ac:dyDescent="0.2">
      <c r="A52" s="26" t="s">
        <v>99</v>
      </c>
      <c r="B52" s="27"/>
      <c r="C52" s="27"/>
      <c r="D52" s="27"/>
      <c r="E52" s="27"/>
      <c r="F52" s="27"/>
      <c r="G52" s="15">
        <f>SUM(G46:G51)</f>
        <v>14000</v>
      </c>
      <c r="H52" s="14"/>
    </row>
    <row r="53" spans="1:8" ht="25" customHeight="1" x14ac:dyDescent="0.2">
      <c r="A53" s="40" t="s">
        <v>100</v>
      </c>
      <c r="B53" s="41"/>
      <c r="C53" s="41"/>
      <c r="D53" s="41"/>
      <c r="E53" s="41"/>
      <c r="F53" s="41"/>
      <c r="G53" s="41"/>
      <c r="H53" s="41"/>
    </row>
    <row r="54" spans="1:8" ht="31" customHeight="1" x14ac:dyDescent="0.2">
      <c r="A54" s="9" t="s">
        <v>101</v>
      </c>
      <c r="B54" s="9" t="s">
        <v>102</v>
      </c>
      <c r="C54" s="9" t="s">
        <v>34</v>
      </c>
      <c r="D54" s="10">
        <f>8*$F$5</f>
        <v>16</v>
      </c>
      <c r="E54" s="11">
        <v>2200</v>
      </c>
      <c r="F54" s="16"/>
      <c r="G54" s="13">
        <f>D54*E54</f>
        <v>35200</v>
      </c>
      <c r="H54" s="9" t="s">
        <v>103</v>
      </c>
    </row>
    <row r="55" spans="1:8" ht="31" customHeight="1" x14ac:dyDescent="0.2">
      <c r="A55" s="9" t="s">
        <v>101</v>
      </c>
      <c r="B55" s="9" t="s">
        <v>104</v>
      </c>
      <c r="C55" s="9" t="s">
        <v>55</v>
      </c>
      <c r="D55" s="10">
        <v>1</v>
      </c>
      <c r="E55" s="11">
        <v>16000</v>
      </c>
      <c r="F55" s="16"/>
      <c r="G55" s="13">
        <f>D55*E55</f>
        <v>16000</v>
      </c>
      <c r="H55" s="9" t="s">
        <v>105</v>
      </c>
    </row>
    <row r="56" spans="1:8" ht="31" customHeight="1" x14ac:dyDescent="0.2">
      <c r="A56" s="26" t="s">
        <v>106</v>
      </c>
      <c r="B56" s="27"/>
      <c r="C56" s="27"/>
      <c r="D56" s="27"/>
      <c r="E56" s="27"/>
      <c r="F56" s="27"/>
      <c r="G56" s="15">
        <f>SUM(G54:G55)</f>
        <v>51200</v>
      </c>
      <c r="H56" s="14"/>
    </row>
    <row r="57" spans="1:8" ht="25" customHeight="1" x14ac:dyDescent="0.2">
      <c r="A57" s="40" t="s">
        <v>107</v>
      </c>
      <c r="B57" s="41"/>
      <c r="C57" s="41"/>
      <c r="D57" s="41"/>
      <c r="E57" s="41"/>
      <c r="F57" s="41"/>
      <c r="G57" s="41"/>
      <c r="H57" s="41"/>
    </row>
    <row r="58" spans="1:8" ht="31" customHeight="1" x14ac:dyDescent="0.2">
      <c r="A58" s="17" t="s">
        <v>108</v>
      </c>
      <c r="B58" s="17" t="s">
        <v>109</v>
      </c>
      <c r="C58" s="17" t="s">
        <v>110</v>
      </c>
      <c r="D58" s="18">
        <v>0.1</v>
      </c>
      <c r="E58" s="19" t="s">
        <v>111</v>
      </c>
      <c r="F58" s="17" t="s">
        <v>112</v>
      </c>
      <c r="G58" s="19">
        <f>SUM(G14,G20,G26,G32,G38,G44,G52,G56)*D58</f>
        <v>64070</v>
      </c>
      <c r="H58" s="17" t="s">
        <v>113</v>
      </c>
    </row>
    <row r="59" spans="1:8" ht="25" customHeight="1" x14ac:dyDescent="0.2">
      <c r="A59" s="25" t="s">
        <v>114</v>
      </c>
      <c r="B59" s="24"/>
      <c r="C59" s="24"/>
      <c r="D59" s="24"/>
      <c r="E59" s="24"/>
      <c r="F59" s="24"/>
      <c r="G59" s="24"/>
      <c r="H59" s="24"/>
    </row>
    <row r="60" spans="1:8" ht="31" customHeight="1" x14ac:dyDescent="0.2">
      <c r="A60" s="42" t="s">
        <v>115</v>
      </c>
      <c r="B60" s="32"/>
      <c r="C60" s="32"/>
      <c r="D60" s="32"/>
      <c r="E60" s="32"/>
      <c r="F60" s="32"/>
      <c r="G60" s="44">
        <f>SUM(G14,G20,G26,G32,G38,G44,G52,G56)+G58</f>
        <v>704770</v>
      </c>
      <c r="H60" s="43"/>
    </row>
    <row r="61" spans="1:8" ht="31" customHeight="1" x14ac:dyDescent="0.2">
      <c r="A61" s="28" t="s">
        <v>116</v>
      </c>
      <c r="B61" s="24"/>
      <c r="C61" s="24"/>
      <c r="D61" s="24"/>
      <c r="E61" s="24"/>
      <c r="F61" s="24"/>
      <c r="G61" s="21">
        <f>IF(B5&gt;0,G60/B5,0)</f>
        <v>23492.333333333332</v>
      </c>
      <c r="H61" s="20"/>
    </row>
  </sheetData>
  <autoFilter ref="A5:G18" xr:uid="{00000000-0009-0000-0000-000000000000}"/>
  <mergeCells count="23">
    <mergeCell ref="A60:F60"/>
    <mergeCell ref="A61:F61"/>
    <mergeCell ref="A1:H1"/>
    <mergeCell ref="A26:F26"/>
    <mergeCell ref="A14:F14"/>
    <mergeCell ref="A32:F32"/>
    <mergeCell ref="A20:F20"/>
    <mergeCell ref="A27:H27"/>
    <mergeCell ref="A3:H3"/>
    <mergeCell ref="A21:H21"/>
    <mergeCell ref="A2:H2"/>
    <mergeCell ref="A8:H8"/>
    <mergeCell ref="A39:H39"/>
    <mergeCell ref="A15:H15"/>
    <mergeCell ref="A59:H59"/>
    <mergeCell ref="A56:F56"/>
    <mergeCell ref="A45:H45"/>
    <mergeCell ref="A38:F38"/>
    <mergeCell ref="A52:F52"/>
    <mergeCell ref="A44:F44"/>
    <mergeCell ref="A57:H57"/>
    <mergeCell ref="A33:H33"/>
    <mergeCell ref="A53:H53"/>
  </mergeCells>
  <conditionalFormatting sqref="G8:G61">
    <cfRule type="cellIs" dxfId="0" priority="1" operator="equal">
      <formula>0</formula>
    </cfRule>
  </conditionalFormatting>
  <dataValidations count="7">
    <dataValidation type="list" showInputMessage="1" showErrorMessage="1" errorTitle="Выберите вариант из списка" error="Пожалуйста, выберите одно из предложенных значений в выпадающем списке." promptTitle="Интерактивный выбор" prompt="Нажмите на ячейку, затем выберите вариант из стрелки справа." sqref="F9" xr:uid="{00000000-0002-0000-0000-000000000000}">
      <formula1>"Лофт «Север»,Конференц-зал «Контур»,Загородный комплекс"</formula1>
    </dataValidation>
    <dataValidation type="list" showInputMessage="1" showErrorMessage="1" errorTitle="Выберите вариант из списка" error="Пожалуйста, выберите одно из предложенных значений в выпадающем списке." promptTitle="Интерактивный выбор" prompt="Нажмите на ячейку, затем выберите вариант из стрелки справа." sqref="F22" xr:uid="{00000000-0002-0000-0000-000001000000}">
      <formula1>"Самолёт — прямой рейс,Самолёт — с пересадкой,Поезд"</formula1>
    </dataValidation>
    <dataValidation type="list" showInputMessage="1" showErrorMessage="1" errorTitle="Выберите вариант из списка" error="Пожалуйста, выберите одно из предложенных значений в выпадающем списке." promptTitle="Интерактивный выбор" prompt="Нажмите на ячейку, затем выберите вариант из стрелки справа." sqref="F28" xr:uid="{00000000-0002-0000-0000-000002000000}">
      <formula1>"Такси / бизнес-класс,Минивэн,Заказной автобус"</formula1>
    </dataValidation>
    <dataValidation type="list" showInputMessage="1" showErrorMessage="1" errorTitle="Выберите вариант из списка" error="Пожалуйста, выберите одно из предложенных значений в выпадающем списке." promptTitle="Интерактивный выбор" prompt="Нажмите на ячейку, затем выберите вариант из стрелки справа." sqref="F34" xr:uid="{00000000-0002-0000-0000-000003000000}">
      <formula1>"Отель «Стандарт» 3★,Отель «Комфорт» 4★,Отель «Премиум» 5★"</formula1>
    </dataValidation>
    <dataValidation type="list" showInputMessage="1" showErrorMessage="1" errorTitle="Выберите вариант из списка" error="Пожалуйста, выберите одно из предложенных значений в выпадающем списке." promptTitle="Интерактивный выбор" prompt="Нажмите на ячейку, затем выберите вариант из стрелки справа." sqref="F40" xr:uid="{00000000-0002-0000-0000-000004000000}">
      <formula1>"Вариант 1 — камерный вечер,Вариант 2 — командная активность,Вариант 3 — расширенная программа"</formula1>
    </dataValidation>
    <dataValidation type="list" showInputMessage="1" showErrorMessage="1" errorTitle="Выберите вариант из списка" error="Пожалуйста, выберите одно из предложенных значений в выпадающем списке." promptTitle="Интерактивный выбор" prompt="Нажмите на ячейку, затем выберите вариант из стрелки справа." sqref="F48:F51" xr:uid="{00000000-0002-0000-0000-000005000000}">
      <formula1>"Да,Нет"</formula1>
    </dataValidation>
    <dataValidation type="list" showInputMessage="1" showErrorMessage="1" errorTitle="Некорректный вариант" error="Выбери вариант из выпадающего списка." promptTitle="Кейтеринг" prompt="Выбери вариант кейтеринга. Сумма пересчитается автоматически." sqref="F16" xr:uid="{00000000-0002-0000-0000-000009000000}">
      <formula1>"От площадки,От площадки загородного комплекса — кофе-брейки и обеды,Поставщик «Гастро»"</formula1>
    </dataValidation>
  </dataValidations>
  <pageMargins left="0.25" right="0.25" top="0.5" bottom="0.5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8"/>
  <sheetViews>
    <sheetView showGridLines="0" zoomScale="85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4" customWidth="1"/>
    <col min="3" max="3" width="48" customWidth="1"/>
    <col min="4" max="4" width="26" customWidth="1"/>
    <col min="5" max="5" width="38" customWidth="1"/>
    <col min="6" max="6" width="16" customWidth="1"/>
  </cols>
  <sheetData>
    <row r="1" spans="1:6" ht="19" x14ac:dyDescent="0.25">
      <c r="A1" s="29" t="s">
        <v>117</v>
      </c>
      <c r="B1" s="24"/>
      <c r="C1" s="24"/>
      <c r="D1" s="24"/>
      <c r="E1" s="24"/>
      <c r="F1" s="24"/>
    </row>
    <row r="3" spans="1:6" ht="32" x14ac:dyDescent="0.2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</row>
    <row r="4" spans="1:6" ht="42" customHeight="1" x14ac:dyDescent="0.2">
      <c r="A4" s="1" t="s">
        <v>124</v>
      </c>
      <c r="B4" s="1" t="s">
        <v>125</v>
      </c>
      <c r="C4" s="1" t="s">
        <v>126</v>
      </c>
      <c r="D4" s="1" t="s">
        <v>127</v>
      </c>
      <c r="E4" s="1" t="s">
        <v>128</v>
      </c>
      <c r="F4" s="3" t="s">
        <v>129</v>
      </c>
    </row>
    <row r="5" spans="1:6" ht="42" customHeight="1" x14ac:dyDescent="0.2">
      <c r="A5" s="1" t="s">
        <v>130</v>
      </c>
      <c r="B5" s="1" t="s">
        <v>131</v>
      </c>
      <c r="C5" s="1" t="s">
        <v>132</v>
      </c>
      <c r="D5" s="1" t="s">
        <v>133</v>
      </c>
      <c r="E5" s="1" t="s">
        <v>134</v>
      </c>
      <c r="F5" s="3" t="s">
        <v>129</v>
      </c>
    </row>
    <row r="6" spans="1:6" ht="42" customHeight="1" x14ac:dyDescent="0.2">
      <c r="A6" s="1" t="s">
        <v>135</v>
      </c>
      <c r="B6" s="1" t="s">
        <v>136</v>
      </c>
      <c r="C6" s="1" t="s">
        <v>137</v>
      </c>
      <c r="D6" s="1" t="s">
        <v>127</v>
      </c>
      <c r="E6" s="1" t="s">
        <v>138</v>
      </c>
      <c r="F6" s="3" t="s">
        <v>129</v>
      </c>
    </row>
    <row r="7" spans="1:6" ht="42" customHeight="1" x14ac:dyDescent="0.2">
      <c r="A7" s="1" t="s">
        <v>135</v>
      </c>
      <c r="B7" s="1" t="s">
        <v>139</v>
      </c>
      <c r="C7" s="1" t="s">
        <v>140</v>
      </c>
      <c r="D7" s="1" t="s">
        <v>141</v>
      </c>
      <c r="E7" s="1" t="s">
        <v>142</v>
      </c>
      <c r="F7" s="3" t="s">
        <v>129</v>
      </c>
    </row>
    <row r="8" spans="1:6" ht="42" customHeight="1" x14ac:dyDescent="0.2">
      <c r="A8" s="1" t="s">
        <v>143</v>
      </c>
      <c r="B8" s="1" t="s">
        <v>144</v>
      </c>
      <c r="C8" s="1" t="s">
        <v>145</v>
      </c>
      <c r="D8" s="1" t="s">
        <v>127</v>
      </c>
      <c r="E8" s="1" t="s">
        <v>146</v>
      </c>
      <c r="F8" s="3" t="s">
        <v>129</v>
      </c>
    </row>
    <row r="9" spans="1:6" ht="42" customHeight="1" x14ac:dyDescent="0.2">
      <c r="A9" s="1" t="s">
        <v>147</v>
      </c>
      <c r="B9" s="1" t="s">
        <v>148</v>
      </c>
      <c r="C9" s="1" t="s">
        <v>149</v>
      </c>
      <c r="D9" s="1" t="s">
        <v>150</v>
      </c>
      <c r="E9" s="1" t="s">
        <v>151</v>
      </c>
      <c r="F9" s="3" t="s">
        <v>129</v>
      </c>
    </row>
    <row r="10" spans="1:6" ht="42" customHeight="1" x14ac:dyDescent="0.2">
      <c r="A10" s="1" t="s">
        <v>152</v>
      </c>
      <c r="B10" s="1" t="s">
        <v>153</v>
      </c>
      <c r="C10" s="1" t="s">
        <v>154</v>
      </c>
      <c r="D10" s="1" t="s">
        <v>155</v>
      </c>
      <c r="E10" s="1" t="s">
        <v>156</v>
      </c>
      <c r="F10" s="3" t="s">
        <v>129</v>
      </c>
    </row>
    <row r="11" spans="1:6" ht="42" customHeight="1" x14ac:dyDescent="0.2">
      <c r="A11" s="1" t="s">
        <v>157</v>
      </c>
      <c r="B11" s="1" t="s">
        <v>158</v>
      </c>
      <c r="C11" s="1" t="s">
        <v>159</v>
      </c>
      <c r="D11" s="1" t="s">
        <v>127</v>
      </c>
      <c r="E11" s="1" t="s">
        <v>160</v>
      </c>
      <c r="F11" s="3" t="s">
        <v>129</v>
      </c>
    </row>
    <row r="12" spans="1:6" ht="42" customHeight="1" x14ac:dyDescent="0.2">
      <c r="A12" s="1" t="s">
        <v>161</v>
      </c>
      <c r="B12" s="1" t="s">
        <v>162</v>
      </c>
      <c r="C12" s="1" t="s">
        <v>163</v>
      </c>
      <c r="D12" s="1" t="s">
        <v>127</v>
      </c>
      <c r="E12" s="1" t="s">
        <v>164</v>
      </c>
      <c r="F12" s="3" t="s">
        <v>129</v>
      </c>
    </row>
    <row r="13" spans="1:6" ht="42" customHeight="1" x14ac:dyDescent="0.2">
      <c r="A13" s="1" t="s">
        <v>165</v>
      </c>
      <c r="B13" s="1" t="s">
        <v>166</v>
      </c>
      <c r="C13" s="1" t="s">
        <v>167</v>
      </c>
      <c r="D13" s="1" t="s">
        <v>127</v>
      </c>
      <c r="E13" s="1" t="s">
        <v>168</v>
      </c>
      <c r="F13" s="3" t="s">
        <v>129</v>
      </c>
    </row>
    <row r="14" spans="1:6" ht="42" customHeight="1" x14ac:dyDescent="0.2">
      <c r="A14" s="1" t="s">
        <v>169</v>
      </c>
      <c r="B14" s="1" t="s">
        <v>170</v>
      </c>
      <c r="C14" s="1" t="s">
        <v>171</v>
      </c>
      <c r="D14" s="1" t="s">
        <v>141</v>
      </c>
      <c r="E14" s="1" t="s">
        <v>172</v>
      </c>
      <c r="F14" s="3" t="s">
        <v>129</v>
      </c>
    </row>
    <row r="15" spans="1:6" ht="42" customHeight="1" x14ac:dyDescent="0.2">
      <c r="A15" s="1" t="s">
        <v>173</v>
      </c>
      <c r="B15" s="1" t="s">
        <v>174</v>
      </c>
      <c r="C15" s="1" t="s">
        <v>175</v>
      </c>
      <c r="D15" s="1" t="s">
        <v>127</v>
      </c>
      <c r="E15" s="1" t="s">
        <v>176</v>
      </c>
      <c r="F15" s="3" t="s">
        <v>129</v>
      </c>
    </row>
    <row r="16" spans="1:6" ht="42" customHeight="1" x14ac:dyDescent="0.2">
      <c r="A16" s="1" t="s">
        <v>177</v>
      </c>
      <c r="B16" s="1" t="s">
        <v>178</v>
      </c>
      <c r="C16" s="1" t="s">
        <v>179</v>
      </c>
      <c r="D16" s="1" t="s">
        <v>127</v>
      </c>
      <c r="E16" s="1" t="s">
        <v>180</v>
      </c>
      <c r="F16" s="3" t="s">
        <v>129</v>
      </c>
    </row>
    <row r="17" spans="1:6" ht="42" customHeight="1" x14ac:dyDescent="0.2">
      <c r="A17" s="1" t="s">
        <v>181</v>
      </c>
      <c r="B17" s="1" t="s">
        <v>182</v>
      </c>
      <c r="C17" s="1" t="s">
        <v>183</v>
      </c>
      <c r="D17" s="1" t="s">
        <v>127</v>
      </c>
      <c r="E17" s="1" t="s">
        <v>184</v>
      </c>
      <c r="F17" s="3" t="s">
        <v>129</v>
      </c>
    </row>
    <row r="18" spans="1:6" ht="42" customHeight="1" x14ac:dyDescent="0.2">
      <c r="A18" s="1" t="s">
        <v>185</v>
      </c>
      <c r="B18" s="1" t="s">
        <v>186</v>
      </c>
      <c r="C18" s="1" t="s">
        <v>187</v>
      </c>
      <c r="D18" s="1" t="s">
        <v>127</v>
      </c>
      <c r="E18" s="1" t="s">
        <v>188</v>
      </c>
      <c r="F18" s="3" t="s">
        <v>129</v>
      </c>
    </row>
  </sheetData>
  <autoFilter ref="A3:F18" xr:uid="{00000000-0009-0000-0000-000001000000}"/>
  <mergeCells count="1">
    <mergeCell ref="A1:F1"/>
  </mergeCells>
  <pageMargins left="0.25" right="0.25" top="0.5" bottom="0.5" header="0.5" footer="0.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9"/>
  <sheetViews>
    <sheetView showGridLines="0" zoomScale="85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28" customWidth="1"/>
    <col min="4" max="4" width="56" customWidth="1"/>
    <col min="5" max="5" width="28" customWidth="1"/>
    <col min="6" max="6" width="48" customWidth="1"/>
  </cols>
  <sheetData>
    <row r="1" spans="1:6" ht="19" x14ac:dyDescent="0.25">
      <c r="A1" s="29" t="s">
        <v>189</v>
      </c>
      <c r="B1" s="24"/>
      <c r="C1" s="24"/>
      <c r="D1" s="24"/>
      <c r="E1" s="24"/>
      <c r="F1" s="24"/>
    </row>
    <row r="2" spans="1:6" x14ac:dyDescent="0.2">
      <c r="A2" s="30" t="s">
        <v>190</v>
      </c>
      <c r="B2" s="24"/>
      <c r="C2" s="24"/>
      <c r="D2" s="24"/>
      <c r="E2" s="24"/>
      <c r="F2" s="24"/>
    </row>
    <row r="4" spans="1:6" ht="16" x14ac:dyDescent="0.2">
      <c r="A4" s="2" t="s">
        <v>191</v>
      </c>
      <c r="B4" s="2" t="s">
        <v>192</v>
      </c>
      <c r="C4" s="2" t="s">
        <v>5</v>
      </c>
      <c r="D4" s="2" t="s">
        <v>193</v>
      </c>
      <c r="E4" s="2" t="s">
        <v>121</v>
      </c>
      <c r="F4" s="2" t="s">
        <v>194</v>
      </c>
    </row>
    <row r="5" spans="1:6" ht="44" customHeight="1" x14ac:dyDescent="0.2">
      <c r="A5" s="4" t="s">
        <v>195</v>
      </c>
      <c r="B5" s="1" t="s">
        <v>196</v>
      </c>
      <c r="C5" s="1" t="s">
        <v>197</v>
      </c>
      <c r="D5" s="1" t="s">
        <v>198</v>
      </c>
      <c r="E5" s="1" t="s">
        <v>199</v>
      </c>
      <c r="F5" s="1" t="s">
        <v>200</v>
      </c>
    </row>
    <row r="6" spans="1:6" ht="44" customHeight="1" x14ac:dyDescent="0.2">
      <c r="A6" s="4" t="s">
        <v>195</v>
      </c>
      <c r="B6" s="1" t="s">
        <v>201</v>
      </c>
      <c r="C6" s="1" t="s">
        <v>202</v>
      </c>
      <c r="D6" s="1" t="s">
        <v>203</v>
      </c>
      <c r="E6" s="1" t="s">
        <v>127</v>
      </c>
      <c r="F6" s="1" t="s">
        <v>204</v>
      </c>
    </row>
    <row r="7" spans="1:6" ht="44" customHeight="1" x14ac:dyDescent="0.2">
      <c r="A7" s="4" t="s">
        <v>195</v>
      </c>
      <c r="B7" s="1" t="s">
        <v>205</v>
      </c>
      <c r="C7" s="1" t="s">
        <v>206</v>
      </c>
      <c r="D7" s="1" t="s">
        <v>207</v>
      </c>
      <c r="E7" s="1" t="s">
        <v>208</v>
      </c>
      <c r="F7" s="1" t="s">
        <v>209</v>
      </c>
    </row>
    <row r="8" spans="1:6" ht="44" customHeight="1" x14ac:dyDescent="0.2">
      <c r="A8" s="4" t="s">
        <v>195</v>
      </c>
      <c r="B8" s="1" t="s">
        <v>210</v>
      </c>
      <c r="C8" s="1" t="s">
        <v>211</v>
      </c>
      <c r="D8" s="1" t="s">
        <v>212</v>
      </c>
      <c r="E8" s="1" t="s">
        <v>213</v>
      </c>
      <c r="F8" s="1" t="s">
        <v>214</v>
      </c>
    </row>
    <row r="9" spans="1:6" ht="44" customHeight="1" x14ac:dyDescent="0.2">
      <c r="A9" s="4" t="s">
        <v>195</v>
      </c>
      <c r="B9" s="1" t="s">
        <v>215</v>
      </c>
      <c r="C9" s="1" t="s">
        <v>216</v>
      </c>
      <c r="D9" s="1" t="s">
        <v>217</v>
      </c>
      <c r="E9" s="1" t="s">
        <v>218</v>
      </c>
      <c r="F9" s="1" t="s">
        <v>219</v>
      </c>
    </row>
    <row r="10" spans="1:6" ht="44" customHeight="1" x14ac:dyDescent="0.2">
      <c r="A10" s="4" t="s">
        <v>195</v>
      </c>
      <c r="B10" s="1" t="s">
        <v>220</v>
      </c>
      <c r="C10" s="1" t="s">
        <v>221</v>
      </c>
      <c r="D10" s="1" t="s">
        <v>222</v>
      </c>
      <c r="E10" s="1" t="s">
        <v>223</v>
      </c>
      <c r="F10" s="1" t="s">
        <v>224</v>
      </c>
    </row>
    <row r="11" spans="1:6" ht="44" customHeight="1" x14ac:dyDescent="0.2">
      <c r="A11" s="4" t="s">
        <v>195</v>
      </c>
      <c r="B11" s="1" t="s">
        <v>225</v>
      </c>
      <c r="C11" s="1" t="s">
        <v>226</v>
      </c>
      <c r="D11" s="1" t="s">
        <v>227</v>
      </c>
      <c r="E11" s="1" t="s">
        <v>218</v>
      </c>
      <c r="F11" s="1" t="s">
        <v>228</v>
      </c>
    </row>
    <row r="12" spans="1:6" ht="44" customHeight="1" x14ac:dyDescent="0.2">
      <c r="A12" s="4" t="s">
        <v>195</v>
      </c>
      <c r="B12" s="1" t="s">
        <v>229</v>
      </c>
      <c r="C12" s="1" t="s">
        <v>230</v>
      </c>
      <c r="D12" s="1" t="s">
        <v>231</v>
      </c>
      <c r="E12" s="1" t="s">
        <v>232</v>
      </c>
      <c r="F12" s="1" t="s">
        <v>233</v>
      </c>
    </row>
    <row r="13" spans="1:6" ht="44" customHeight="1" x14ac:dyDescent="0.2">
      <c r="A13" s="4" t="s">
        <v>195</v>
      </c>
      <c r="B13" s="1" t="s">
        <v>234</v>
      </c>
      <c r="C13" s="1" t="s">
        <v>235</v>
      </c>
      <c r="D13" s="1" t="s">
        <v>217</v>
      </c>
      <c r="E13" s="1" t="s">
        <v>218</v>
      </c>
      <c r="F13" s="1" t="s">
        <v>236</v>
      </c>
    </row>
    <row r="14" spans="1:6" ht="44" customHeight="1" x14ac:dyDescent="0.2">
      <c r="A14" s="4" t="s">
        <v>195</v>
      </c>
      <c r="B14" s="1" t="s">
        <v>237</v>
      </c>
      <c r="C14" s="1" t="s">
        <v>238</v>
      </c>
      <c r="D14" s="1" t="s">
        <v>239</v>
      </c>
      <c r="E14" s="1" t="s">
        <v>240</v>
      </c>
      <c r="F14" s="1" t="s">
        <v>241</v>
      </c>
    </row>
    <row r="15" spans="1:6" ht="44" customHeight="1" x14ac:dyDescent="0.2">
      <c r="A15" s="4" t="s">
        <v>195</v>
      </c>
      <c r="B15" s="1" t="s">
        <v>242</v>
      </c>
      <c r="C15" s="1" t="s">
        <v>243</v>
      </c>
      <c r="D15" s="1" t="s">
        <v>244</v>
      </c>
      <c r="E15" s="1" t="s">
        <v>245</v>
      </c>
      <c r="F15" s="1" t="s">
        <v>246</v>
      </c>
    </row>
    <row r="16" spans="1:6" ht="44" customHeight="1" x14ac:dyDescent="0.2">
      <c r="A16" s="4" t="s">
        <v>195</v>
      </c>
      <c r="B16" s="1" t="s">
        <v>247</v>
      </c>
      <c r="C16" s="1" t="s">
        <v>248</v>
      </c>
      <c r="D16" s="1" t="s">
        <v>249</v>
      </c>
      <c r="E16" s="1" t="s">
        <v>199</v>
      </c>
      <c r="F16" s="1" t="s">
        <v>250</v>
      </c>
    </row>
    <row r="17" spans="1:6" ht="44" customHeight="1" x14ac:dyDescent="0.2">
      <c r="A17" s="4" t="s">
        <v>195</v>
      </c>
      <c r="B17" s="1" t="s">
        <v>251</v>
      </c>
      <c r="C17" s="1" t="s">
        <v>252</v>
      </c>
      <c r="D17" s="1" t="s">
        <v>253</v>
      </c>
      <c r="E17" s="1" t="s">
        <v>254</v>
      </c>
      <c r="F17" s="1" t="s">
        <v>255</v>
      </c>
    </row>
    <row r="18" spans="1:6" ht="44" customHeight="1" x14ac:dyDescent="0.2">
      <c r="A18" s="5" t="s">
        <v>256</v>
      </c>
      <c r="B18" s="1" t="s">
        <v>257</v>
      </c>
      <c r="C18" s="1" t="s">
        <v>258</v>
      </c>
      <c r="D18" s="1" t="s">
        <v>259</v>
      </c>
      <c r="E18" s="1" t="s">
        <v>127</v>
      </c>
      <c r="F18" s="1" t="s">
        <v>260</v>
      </c>
    </row>
    <row r="19" spans="1:6" ht="44" customHeight="1" x14ac:dyDescent="0.2">
      <c r="A19" s="5" t="s">
        <v>256</v>
      </c>
      <c r="B19" s="1" t="s">
        <v>261</v>
      </c>
      <c r="C19" s="1" t="s">
        <v>262</v>
      </c>
      <c r="D19" s="1" t="s">
        <v>263</v>
      </c>
      <c r="E19" s="1" t="s">
        <v>264</v>
      </c>
      <c r="F19" s="1" t="s">
        <v>265</v>
      </c>
    </row>
    <row r="20" spans="1:6" ht="44" customHeight="1" x14ac:dyDescent="0.2">
      <c r="A20" s="5" t="s">
        <v>256</v>
      </c>
      <c r="B20" s="1" t="s">
        <v>266</v>
      </c>
      <c r="C20" s="1" t="s">
        <v>267</v>
      </c>
      <c r="D20" s="1" t="s">
        <v>268</v>
      </c>
      <c r="E20" s="1" t="s">
        <v>223</v>
      </c>
      <c r="F20" s="1" t="s">
        <v>269</v>
      </c>
    </row>
    <row r="21" spans="1:6" ht="44" customHeight="1" x14ac:dyDescent="0.2">
      <c r="A21" s="5" t="s">
        <v>256</v>
      </c>
      <c r="B21" s="1" t="s">
        <v>215</v>
      </c>
      <c r="C21" s="1" t="s">
        <v>217</v>
      </c>
      <c r="D21" s="1" t="s">
        <v>270</v>
      </c>
      <c r="E21" s="1" t="s">
        <v>17</v>
      </c>
      <c r="F21" s="1" t="s">
        <v>271</v>
      </c>
    </row>
    <row r="22" spans="1:6" ht="44" customHeight="1" x14ac:dyDescent="0.2">
      <c r="A22" s="5" t="s">
        <v>256</v>
      </c>
      <c r="B22" s="1" t="s">
        <v>220</v>
      </c>
      <c r="C22" s="1" t="s">
        <v>272</v>
      </c>
      <c r="D22" s="1" t="s">
        <v>273</v>
      </c>
      <c r="E22" s="1" t="s">
        <v>274</v>
      </c>
      <c r="F22" s="1" t="s">
        <v>275</v>
      </c>
    </row>
    <row r="23" spans="1:6" ht="44" customHeight="1" x14ac:dyDescent="0.2">
      <c r="A23" s="5" t="s">
        <v>256</v>
      </c>
      <c r="B23" s="1" t="s">
        <v>225</v>
      </c>
      <c r="C23" s="1" t="s">
        <v>226</v>
      </c>
      <c r="D23" s="1" t="s">
        <v>276</v>
      </c>
      <c r="E23" s="1" t="s">
        <v>17</v>
      </c>
      <c r="F23" s="1" t="s">
        <v>271</v>
      </c>
    </row>
    <row r="24" spans="1:6" ht="44" customHeight="1" x14ac:dyDescent="0.2">
      <c r="A24" s="5" t="s">
        <v>256</v>
      </c>
      <c r="B24" s="1" t="s">
        <v>229</v>
      </c>
      <c r="C24" s="1" t="s">
        <v>277</v>
      </c>
      <c r="D24" s="1" t="s">
        <v>278</v>
      </c>
      <c r="E24" s="1" t="s">
        <v>232</v>
      </c>
      <c r="F24" s="1" t="s">
        <v>279</v>
      </c>
    </row>
    <row r="25" spans="1:6" ht="44" customHeight="1" x14ac:dyDescent="0.2">
      <c r="A25" s="5" t="s">
        <v>256</v>
      </c>
      <c r="B25" s="1" t="s">
        <v>234</v>
      </c>
      <c r="C25" s="1" t="s">
        <v>217</v>
      </c>
      <c r="D25" s="1" t="s">
        <v>270</v>
      </c>
      <c r="E25" s="1" t="s">
        <v>17</v>
      </c>
      <c r="F25" s="1" t="s">
        <v>271</v>
      </c>
    </row>
    <row r="26" spans="1:6" ht="44" customHeight="1" x14ac:dyDescent="0.2">
      <c r="A26" s="5" t="s">
        <v>256</v>
      </c>
      <c r="B26" s="1" t="s">
        <v>280</v>
      </c>
      <c r="C26" s="1" t="s">
        <v>281</v>
      </c>
      <c r="D26" s="1" t="s">
        <v>282</v>
      </c>
      <c r="E26" s="1" t="s">
        <v>283</v>
      </c>
      <c r="F26" s="1" t="s">
        <v>284</v>
      </c>
    </row>
    <row r="27" spans="1:6" ht="44" customHeight="1" x14ac:dyDescent="0.2">
      <c r="A27" s="5" t="s">
        <v>256</v>
      </c>
      <c r="B27" s="1" t="s">
        <v>285</v>
      </c>
      <c r="C27" s="1" t="s">
        <v>286</v>
      </c>
      <c r="D27" s="1" t="s">
        <v>287</v>
      </c>
      <c r="E27" s="1" t="s">
        <v>245</v>
      </c>
      <c r="F27" s="1" t="s">
        <v>288</v>
      </c>
    </row>
    <row r="28" spans="1:6" ht="44" customHeight="1" x14ac:dyDescent="0.2">
      <c r="A28" s="5" t="s">
        <v>256</v>
      </c>
      <c r="B28" s="1" t="s">
        <v>289</v>
      </c>
      <c r="C28" s="1" t="s">
        <v>290</v>
      </c>
      <c r="D28" s="1" t="s">
        <v>291</v>
      </c>
      <c r="E28" s="1" t="s">
        <v>133</v>
      </c>
      <c r="F28" s="1" t="s">
        <v>292</v>
      </c>
    </row>
    <row r="29" spans="1:6" ht="44" customHeight="1" x14ac:dyDescent="0.2">
      <c r="A29" s="5" t="s">
        <v>256</v>
      </c>
      <c r="B29" s="1" t="s">
        <v>251</v>
      </c>
      <c r="C29" s="1" t="s">
        <v>252</v>
      </c>
      <c r="D29" s="1" t="s">
        <v>293</v>
      </c>
      <c r="E29" s="1" t="s">
        <v>127</v>
      </c>
      <c r="F29" s="1" t="s">
        <v>294</v>
      </c>
    </row>
  </sheetData>
  <autoFilter ref="A4:F29" xr:uid="{00000000-0009-0000-0000-000002000000}"/>
  <mergeCells count="2">
    <mergeCell ref="A2:F2"/>
    <mergeCell ref="A1:F1"/>
  </mergeCells>
  <pageMargins left="0.25" right="0.25" top="0.5" bottom="0.5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Смета</vt:lpstr>
      <vt:lpstr>План подготовки</vt:lpstr>
      <vt:lpstr>Тайминг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victoria.svo-bo-da@yandex.ru</cp:lastModifiedBy>
  <dcterms:created xsi:type="dcterms:W3CDTF">2026-10-19T12:29:59Z</dcterms:created>
  <dcterms:modified xsi:type="dcterms:W3CDTF">2026-10-21T11:33:21Z</dcterms:modified>
</cp:coreProperties>
</file>